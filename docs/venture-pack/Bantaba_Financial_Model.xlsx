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Headcount" sheetId="3" state="visible" r:id="rId5"/>
    <sheet name="Monthly" sheetId="4" state="visible" r:id="rId6"/>
    <sheet name="Annual" sheetId="5" state="visible" r:id="rId7"/>
    <sheet name="Unit_Economics" sheetId="6" state="visible" r:id="rId8"/>
    <sheet name="Float_Treasury" sheetId="7" state="visible" r:id="rId9"/>
    <sheet name="Scenari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3" authorId="0">
      <text>
        <r>
          <rPr>
            <sz val="10"/>
            <rFont val="Arial"/>
            <family val="2"/>
          </rPr>
          <t xml:space="preserve">Source: Central Bank of The Gambia (reported 2025 formal remittances US$872.05M, &gt;30% of GDP). Informal flows excluded.</t>
        </r>
      </text>
    </comment>
    <comment ref="B55" authorId="0">
      <text>
        <r>
          <rPr>
            <sz val="10"/>
            <rFont val="Arial"/>
            <family val="2"/>
          </rPr>
          <t xml:space="preserve">Funding close assumed January 2027. Year 1 = build, licensing, closed pilot, public beta.</t>
        </r>
      </text>
    </comment>
  </commentList>
</comments>
</file>

<file path=xl/sharedStrings.xml><?xml version="1.0" encoding="utf-8"?>
<sst xmlns="http://schemas.openxmlformats.org/spreadsheetml/2006/main" count="447" uniqueCount="329">
  <si>
    <t xml:space="preserve">Bantaba Remittance — 5-Year Financial Model</t>
  </si>
  <si>
    <t xml:space="preserve">Version 1.0 · October 2026 · Reporting currency: US dollars · Planning-grade estimates</t>
  </si>
  <si>
    <t xml:space="preserve">PURPOSE</t>
  </si>
  <si>
    <t xml:space="preserve">Shows how Bantaba (a cash-to-code remittance company, not a fintech) grows volume across six corridors, earns fees and FX margin, pays for payout partners and operations, and what funding is required.</t>
  </si>
  <si>
    <t xml:space="preserve">HOW TO USE</t>
  </si>
  <si>
    <t xml:space="preserve">1. Go to 'Assumptions'. Blue text on cream fill = inputs you may change. Black = formulas. Green = links to other sheets.</t>
  </si>
  <si>
    <t xml:space="preserve">2. Change the scenario selector (cell B3: 1=Base, 2=Conservative, 3=Upside). Every sheet recalculates.</t>
  </si>
  <si>
    <t xml:space="preserve">3. 'Monthly' holds the 60-month engine. 'Annual' summarises it. 'Unit_Economics' shows one transfer. 'Float_Treasury' sizes prefunded payout float. 'Scenarios' is a static snapshot of all three cases.</t>
  </si>
  <si>
    <t xml:space="preserve">KEY STRUCTURE</t>
  </si>
  <si>
    <t xml:space="preserve">• Transfers per corridor = cap × (1 − e^(−months since launch / ramp τ)) × seasonality × scenario multiplier. Volume = transfers × average ticket.</t>
  </si>
  <si>
    <t xml:space="preserve">• Revenue = volume × (fee % + FX margin %). Variable costs are % of volume. Fixed costs come from the headcount plan plus non-payroll lines.</t>
  </si>
  <si>
    <t xml:space="preserve">• Cash = EBITDA − capex − change in prefunded float + equity raised. Float = days of cover × daily volume.</t>
  </si>
  <si>
    <t xml:space="preserve">IMPORTANT CAVEATS</t>
  </si>
  <si>
    <t xml:space="preserve">• Every number is an assumption to validate in the closed pilot. Replace with pilot data as it arrives.</t>
  </si>
  <si>
    <t xml:space="preserve">• Volumes in the Gambia-bound corridors imply a market share of Gambia's formal inflows (see Annual sheet). This is deliberately shown so investors can judge how ambitious the plan is.</t>
  </si>
  <si>
    <t xml:space="preserve">• FX rates are not modelled; all values are in USD equivalents at mid-market.</t>
  </si>
  <si>
    <t xml:space="preserve">• Corporate tax, depreciation and interest are excluded (EBITDA-level model). Licensing capital requirements are included under working capital / float.</t>
  </si>
  <si>
    <t xml:space="preserve">• Gambia inflow base: US$872M in 2025 (Central Bank of The Gambia, announced at Stake in the Nation Forum 9); US$775.6M in 2024.</t>
  </si>
  <si>
    <t xml:space="preserve">Assumptions (blue = input)</t>
  </si>
  <si>
    <t xml:space="preserve">Active scenario</t>
  </si>
  <si>
    <t xml:space="preserve">Volume ×</t>
  </si>
  <si>
    <t xml:space="preserve">Fixed cost ×</t>
  </si>
  <si>
    <t xml:space="preserve">Scenario selector (1=Base, 2=Conservative, 3=Upside)</t>
  </si>
  <si>
    <t xml:space="preserve">#</t>
  </si>
  <si>
    <t xml:space="preserve">Scenario</t>
  </si>
  <si>
    <t xml:space="preserve">Volume multiplier</t>
  </si>
  <si>
    <t xml:space="preserve">Fixed-cost multiplier</t>
  </si>
  <si>
    <t xml:space="preserve">Base</t>
  </si>
  <si>
    <t xml:space="preserve">Conservative</t>
  </si>
  <si>
    <t xml:space="preserve">Upside</t>
  </si>
  <si>
    <t xml:space="preserve">Corridor</t>
  </si>
  <si>
    <t xml:space="preserve">Launch month</t>
  </si>
  <si>
    <t xml:space="preserve">Mature monthly transfers (cap)</t>
  </si>
  <si>
    <t xml:space="preserve">Ramp τ (months)</t>
  </si>
  <si>
    <t xml:space="preserve">Avg ticket (USD)</t>
  </si>
  <si>
    <t xml:space="preserve">Fee % of volume</t>
  </si>
  <si>
    <t xml:space="preserve">FX margin % of volume</t>
  </si>
  <si>
    <t xml:space="preserve">Total take %</t>
  </si>
  <si>
    <t xml:space="preserve">Gambia-bound (1/0)</t>
  </si>
  <si>
    <t xml:space="preserve">UK → Gambia</t>
  </si>
  <si>
    <t xml:space="preserve">China → Gambia</t>
  </si>
  <si>
    <t xml:space="preserve">USA → Gambia</t>
  </si>
  <si>
    <t xml:space="preserve">Regional: Senegal (Dakar)</t>
  </si>
  <si>
    <t xml:space="preserve">Regional: Guinea (Conakry)</t>
  </si>
  <si>
    <t xml:space="preserve">Regional: Guinea-Bissau (Bissau)</t>
  </si>
  <si>
    <t xml:space="preserve">Launch month = month since funding close (M1). UK launches at M11 (public beta after closed pilot M9–10); China M15 after legal gating; USA M19; regional corridors M25–M31.</t>
  </si>
  <si>
    <t xml:space="preserve">Seasonality index (Eid, Tobaski, Ramadan, school terms, December)</t>
  </si>
  <si>
    <t xml:space="preserve">Month of year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</si>
  <si>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</si>
  <si>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</si>
  <si>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</si>
  <si>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</si>
  <si>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</si>
  <si>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</si>
  <si>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</si>
  <si>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</si>
  <si>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</si>
  <si>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</si>
  <si>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</si>
  <si>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</si>
  <si>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Index</t>
  </si>
  <si>
    <t xml:space="preserve">Variable costs (% of volume)</t>
  </si>
  <si>
    <t xml:space="preserve">%</t>
  </si>
  <si>
    <t xml:space="preserve">Payout partner / agent commission</t>
  </si>
  <si>
    <t xml:space="preserve">Origin send-point / agent commission</t>
  </si>
  <si>
    <t xml:space="preserve">Banking, settlement &amp; FX execution</t>
  </si>
  <si>
    <t xml:space="preserve">Fraud &amp; loss provision</t>
  </si>
  <si>
    <t xml:space="preserve">KYC, screening, SMS/WhatsApp</t>
  </si>
  <si>
    <t xml:space="preserve">Cash logistics &amp; cash-in-transit insurance</t>
  </si>
  <si>
    <t xml:space="preserve">Total variable cost % of volume</t>
  </si>
  <si>
    <t xml:space="preserve">Fixed operating costs (USD / year)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</si>
  <si>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</si>
  <si>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</si>
  <si>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</si>
  <si>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</si>
  <si>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</si>
  <si>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Payroll (from Headcount sheet)</t>
  </si>
  <si>
    <t xml:space="preserve">Premises &amp; send points (rent, fit-out, security)</t>
  </si>
  <si>
    <t xml:space="preserve">Licensing, legal, audit &amp; compliance tooling</t>
  </si>
  <si>
    <t xml:space="preserve">Technology, cloud &amp; vendors (IDV, screening, SMS)</t>
  </si>
  <si>
    <t xml:space="preserve">Marketing &amp; community ambassadors</t>
  </si>
  <si>
    <t xml:space="preserve">G&amp;A (insurance, travel, accounting)</t>
  </si>
  <si>
    <t xml:space="preserve">Total fixed operating costs (before scenario multiplier)</t>
  </si>
  <si>
    <t xml:space="preserve">Capital expenditure (equipment, fit-out, security systems)</t>
  </si>
  <si>
    <t xml:space="preserve">Financing, working capital &amp; market inputs</t>
  </si>
  <si>
    <t xml:space="preserve">Value</t>
  </si>
  <si>
    <t xml:space="preserve">Seed round (USD)</t>
  </si>
  <si>
    <t xml:space="preserve">Seed received in month</t>
  </si>
  <si>
    <t xml:space="preserve">Series A (USD)</t>
  </si>
  <si>
    <t xml:space="preserve">Series A received in month</t>
  </si>
  <si>
    <t xml:space="preserve">Prefunded float &amp; settlement cover (days of volume)</t>
  </si>
  <si>
    <t xml:space="preserve">Transfers per active sender per month</t>
  </si>
  <si>
    <t xml:space="preserve">Gambia formal remittance inflows, 2025 (USD)</t>
  </si>
  <si>
    <t xml:space="preserve">Assumed annual growth in Gambia inflows</t>
  </si>
  <si>
    <t xml:space="preserve">Calendar year of model Year 1</t>
  </si>
  <si>
    <t xml:space="preserve">Customer economics inputs</t>
  </si>
  <si>
    <t xml:space="preserve">Customer acquisition cost, blended (USD)</t>
  </si>
  <si>
    <t xml:space="preserve">Transfers per active sender per year</t>
  </si>
  <si>
    <t xml:space="preserve">Retention: year-1 customers remaining</t>
  </si>
  <si>
    <t xml:space="preserve">Retention: year-2</t>
  </si>
  <si>
    <t xml:space="preserve">Retention: year-3</t>
  </si>
  <si>
    <t xml:space="preserve">Headcount plan &amp; payroll</t>
  </si>
  <si>
    <t xml:space="preserve">Function</t>
  </si>
  <si>
    <t xml:space="preserve">Loaded cost (USD/yr)</t>
  </si>
  <si>
    <t xml:space="preserve">Opening</t>
  </si>
  <si>
    <t xml:space="preserve">Payroll Y1</t>
  </si>
  <si>
    <t xml:space="preserve">Payroll Y2</t>
  </si>
  <si>
    <t xml:space="preserve">Payroll Y3</t>
  </si>
  <si>
    <t xml:space="preserve">Payroll Y4</t>
  </si>
  <si>
    <t xml:space="preserve">Payroll Y5</t>
  </si>
  <si>
    <t xml:space="preserve">Executive &amp; leadership</t>
  </si>
  <si>
    <t xml:space="preserve">Engineering &amp; product</t>
  </si>
  <si>
    <t xml:space="preserve">Compliance &amp; risk (MLRO, analysts)</t>
  </si>
  <si>
    <t xml:space="preserve">Treasury &amp; finance</t>
  </si>
  <si>
    <t xml:space="preserve">Operations &amp; customer support (HQ)</t>
  </si>
  <si>
    <t xml:space="preserve">Send points — UK</t>
  </si>
  <si>
    <t xml:space="preserve">Send points — China</t>
  </si>
  <si>
    <t xml:space="preserve">Send points — USA</t>
  </si>
  <si>
    <t xml:space="preserve">Payout &amp; agent team — Gambia &amp; region</t>
  </si>
  <si>
    <t xml:space="preserve">Growth &amp; community</t>
  </si>
  <si>
    <t xml:space="preserve">Total</t>
  </si>
  <si>
    <t xml:space="preserve">Payroll = average of opening and closing heads × loaded cost (salary + on-costs). Locations: UK/US at local market cost, China and Gambia at local cost. Contractors for the MVP build are included in Engineering.</t>
  </si>
  <si>
    <t xml:space="preserve">Monthly engine (60 months)</t>
  </si>
  <si>
    <t xml:space="preserve">Line</t>
  </si>
  <si>
    <t xml:space="preserve">Unit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</si>
  <si>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</si>
  <si>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</si>
  <si>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</si>
  <si>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</si>
  <si>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</si>
  <si>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</si>
  <si>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</si>
  <si>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</si>
  <si>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</si>
  <si>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</si>
  <si>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</si>
  <si>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</si>
  <si>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</si>
  <si>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</si>
  <si>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</si>
  <si>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</si>
  <si>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</si>
  <si>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</si>
  <si>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</si>
  <si>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</si>
  <si>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</si>
  <si>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</si>
  <si>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</si>
  <si>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</si>
  <si>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</si>
  <si>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</si>
  <si>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</si>
  <si>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</si>
  <si>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</si>
  <si>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</si>
  <si>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</si>
  <si>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</si>
  <si>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</si>
  <si>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</si>
  <si>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</si>
  <si>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</si>
  <si>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</si>
  <si>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</si>
  <si>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</si>
  <si>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</si>
  <si>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</si>
  <si>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</si>
  <si>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</si>
  <si>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</si>
  <si>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</si>
  <si>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</si>
  <si>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</si>
  <si>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</si>
  <si>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</si>
  <si>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</si>
  <si>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</si>
  <si>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</si>
  <si>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</si>
  <si>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</si>
  <si>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</si>
  <si>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</si>
  <si>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</si>
  <si>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</si>
  <si>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</si>
  <si>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</si>
  <si>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Month index</t>
  </si>
  <si>
    <t xml:space="preserve">Year</t>
  </si>
  <si>
    <t xml:space="preserve">Seasonality index</t>
  </si>
  <si>
    <t xml:space="preserve">x</t>
  </si>
  <si>
    <t xml:space="preserve">Scenario volume multiplier</t>
  </si>
  <si>
    <t xml:space="preserve">TRANSFERS (count)</t>
  </si>
  <si>
    <t xml:space="preserve">count</t>
  </si>
  <si>
    <t xml:space="preserve">Total transfers</t>
  </si>
  <si>
    <t xml:space="preserve">VOLUME SENT (USD)</t>
  </si>
  <si>
    <t xml:space="preserve">USD</t>
  </si>
  <si>
    <t xml:space="preserve">Total volume</t>
  </si>
  <si>
    <t xml:space="preserve">of which Gambia-bound (UK+China+USA)</t>
  </si>
  <si>
    <t xml:space="preserve">REVENUE (USD)</t>
  </si>
  <si>
    <t xml:space="preserve">Transfer fee revenue</t>
  </si>
  <si>
    <t xml:space="preserve">FX margin revenue</t>
  </si>
  <si>
    <t xml:space="preserve">Total revenue</t>
  </si>
  <si>
    <t xml:space="preserve">VARIABLE COSTS (USD)</t>
  </si>
  <si>
    <t xml:space="preserve">Total variable costs</t>
  </si>
  <si>
    <t xml:space="preserve">Contribution</t>
  </si>
  <si>
    <t xml:space="preserve">FIXED OPERATING COSTS (USD)</t>
  </si>
  <si>
    <t xml:space="preserve">Payroll</t>
  </si>
  <si>
    <t xml:space="preserve">Premises &amp; send points</t>
  </si>
  <si>
    <t xml:space="preserve">Licensing, legal &amp; compliance</t>
  </si>
  <si>
    <t xml:space="preserve">Technology &amp; vendors</t>
  </si>
  <si>
    <t xml:space="preserve">Marketing &amp; community</t>
  </si>
  <si>
    <t xml:space="preserve">G&amp;A</t>
  </si>
  <si>
    <t xml:space="preserve">Total fixed costs</t>
  </si>
  <si>
    <t xml:space="preserve">EBITDA</t>
  </si>
  <si>
    <t xml:space="preserve">CASH FLOW (USD)</t>
  </si>
  <si>
    <t xml:space="preserve">Capital expenditure</t>
  </si>
  <si>
    <t xml:space="preserve">Prefunded float &amp; settlement balance required</t>
  </si>
  <si>
    <t xml:space="preserve">Change in float</t>
  </si>
  <si>
    <t xml:space="preserve">Net operating cash flow</t>
  </si>
  <si>
    <t xml:space="preserve">Equity raised</t>
  </si>
  <si>
    <t xml:space="preserve">Closing cash</t>
  </si>
  <si>
    <t xml:space="preserve">Cumulative EBITDA</t>
  </si>
  <si>
    <t xml:space="preserve">KPIs</t>
  </si>
  <si>
    <t xml:space="preserve">Active senders (estimated)</t>
  </si>
  <si>
    <t xml:space="preserve">Revenue per transfer</t>
  </si>
  <si>
    <t xml:space="preserve">Contribution per transfer</t>
  </si>
  <si>
    <t xml:space="preserve">Take rate (revenue / volume)</t>
  </si>
  <si>
    <t xml:space="preserve">EBITDA positive? (1/0)</t>
  </si>
  <si>
    <t xml:space="preserve">flag</t>
  </si>
  <si>
    <t xml:space="preserve">Annual summary</t>
  </si>
  <si>
    <t xml:space="preserve">Year index</t>
  </si>
  <si>
    <t xml:space="preserve">USD unless stated</t>
  </si>
  <si>
    <t xml:space="preserve">Transfers</t>
  </si>
  <si>
    <t xml:space="preserve">Volume sent</t>
  </si>
  <si>
    <t xml:space="preserve">  UK → Gambia</t>
  </si>
  <si>
    <t xml:space="preserve">  China → Gambia</t>
  </si>
  <si>
    <t xml:space="preserve">  USA → Gambia</t>
  </si>
  <si>
    <t xml:space="preserve">  Senegal</t>
  </si>
  <si>
    <t xml:space="preserve">  Guinea (Conakry)</t>
  </si>
  <si>
    <t xml:space="preserve">  Guinea-Bissau (Bissau)</t>
  </si>
  <si>
    <t xml:space="preserve">  check (should be 0)</t>
  </si>
  <si>
    <t xml:space="preserve">Fee revenue</t>
  </si>
  <si>
    <t xml:space="preserve">Variable costs</t>
  </si>
  <si>
    <t xml:space="preserve">Contribution margin (% of revenue)</t>
  </si>
  <si>
    <t xml:space="preserve">EBITDA margin (% of revenue)</t>
  </si>
  <si>
    <t xml:space="preserve">Balance &amp; market indicators</t>
  </si>
  <si>
    <t xml:space="preserve">Year-end prefunded float required</t>
  </si>
  <si>
    <t xml:space="preserve">Year-end closing cash</t>
  </si>
  <si>
    <t xml:space="preserve">Lowest month-end cash in year</t>
  </si>
  <si>
    <t xml:space="preserve">Year-end active senders (est.)</t>
  </si>
  <si>
    <t xml:space="preserve">Year-end headcount</t>
  </si>
  <si>
    <t xml:space="preserve">Gambia-bound volume (UK+China+USA)</t>
  </si>
  <si>
    <t xml:space="preserve">Gambia formal inflows (assumed)</t>
  </si>
  <si>
    <t xml:space="preserve">Implied share of Gambia formal inflows</t>
  </si>
  <si>
    <t xml:space="preserve">Months with positive EBITDA in year</t>
  </si>
  <si>
    <t xml:space="preserve">months</t>
  </si>
  <si>
    <t xml:space="preserve">First month with positive EBITDA (after month 20)</t>
  </si>
  <si>
    <t xml:space="preserve">Cumulative EBITDA trough (most negative)</t>
  </si>
  <si>
    <t xml:space="preserve">Lowest closing cash across all 60 months</t>
  </si>
  <si>
    <t xml:space="preserve">Operating breakeven monthly volume (fixed costs Y3 ÷ contribution rate)</t>
  </si>
  <si>
    <t xml:space="preserve">Unit economics per transfer</t>
  </si>
  <si>
    <t xml:space="preserve">Per average transfer (USD)</t>
  </si>
  <si>
    <t xml:space="preserve">UK→GM</t>
  </si>
  <si>
    <t xml:space="preserve">China→GM</t>
  </si>
  <si>
    <t xml:space="preserve">USA→GM</t>
  </si>
  <si>
    <t xml:space="preserve">Senegal</t>
  </si>
  <si>
    <t xml:space="preserve">Guinea</t>
  </si>
  <si>
    <t xml:space="preserve">Guinea-Bissau</t>
  </si>
  <si>
    <t xml:space="preserve">Average ticket</t>
  </si>
  <si>
    <t xml:space="preserve">Payout commission</t>
  </si>
  <si>
    <t xml:space="preserve">Origin commission</t>
  </si>
  <si>
    <t xml:space="preserve">Banking, settlement &amp; FX</t>
  </si>
  <si>
    <t xml:space="preserve">Fraud &amp; loss</t>
  </si>
  <si>
    <t xml:space="preserve">KYC / screening / SMS</t>
  </si>
  <si>
    <t xml:space="preserve">Cash logistics &amp; insurance</t>
  </si>
  <si>
    <t xml:space="preserve">Total variable cost</t>
  </si>
  <si>
    <t xml:space="preserve">Contribution % of ticket</t>
  </si>
  <si>
    <t xml:space="preserve">Customer lifetime value (UK→GM sender)</t>
  </si>
  <si>
    <t xml:space="preserve">Contribution per transfer (UK→GM)</t>
  </si>
  <si>
    <t xml:space="preserve">Transfers per year</t>
  </si>
  <si>
    <t xml:space="preserve">Contribution per active year</t>
  </si>
  <si>
    <t xml:space="preserve">Expected active years over 3 years (retention curve)</t>
  </si>
  <si>
    <t xml:space="preserve">3-year LTV (contribution)</t>
  </si>
  <si>
    <t xml:space="preserve">Blended CAC</t>
  </si>
  <si>
    <t xml:space="preserve">LTV : CAC</t>
  </si>
  <si>
    <t xml:space="preserve">CAC payback (transfers)</t>
  </si>
  <si>
    <t xml:space="preserve">Worked example: £200 cash sent London → Banjul (illustrative rates)</t>
  </si>
  <si>
    <t xml:space="preserve">Send amount (GBP)</t>
  </si>
  <si>
    <t xml:space="preserve">Transfer fee, tier £50.01–£200 (GBP)</t>
  </si>
  <si>
    <t xml:space="preserve">Total cash paid at counter (GBP)</t>
  </si>
  <si>
    <t xml:space="preserve">Mid-market GBP/GMD (illustrative)</t>
  </si>
  <si>
    <t xml:space="preserve">FX margin</t>
  </si>
  <si>
    <t xml:space="preserve">Customer rate GBP/GMD</t>
  </si>
  <si>
    <t xml:space="preserve">Recipient receives (GMD)</t>
  </si>
  <si>
    <t xml:space="preserve">All-in cost to sender (fee + FX margin) as % of amount</t>
  </si>
  <si>
    <t xml:space="preserve">Market comparison: global average cost of sending ~US$200 is roughly 6–7% and Sub-Saharan Africa ~8% (World Bank Remittance Prices Worldwide — verify latest quarter). Bantaba target all-in: 3–4.5%.</t>
  </si>
  <si>
    <t xml:space="preserve">Prefunded payout float &amp; treasury sizing</t>
  </si>
  <si>
    <t xml:space="preserve">End Y1 (M12)</t>
  </si>
  <si>
    <t xml:space="preserve">End Y2 (M24)</t>
  </si>
  <si>
    <t xml:space="preserve">End Y3 (M36)</t>
  </si>
  <si>
    <t xml:space="preserve">End Y4 (M48)</t>
  </si>
  <si>
    <t xml:space="preserve">End Y5 (M60)</t>
  </si>
  <si>
    <t xml:space="preserve">Monthly volume at year-end</t>
  </si>
  <si>
    <t xml:space="preserve">Average daily payout volume</t>
  </si>
  <si>
    <t xml:space="preserve">Float cover (days) — Assumptions</t>
  </si>
  <si>
    <t xml:space="preserve">Prefunded float &amp; settlement required</t>
  </si>
  <si>
    <t xml:space="preserve">Peak-day buffer (Eid/Tobaski/December ×1.6)</t>
  </si>
  <si>
    <t xml:space="preserve">Total treasury requirement incl. buffer</t>
  </si>
  <si>
    <t xml:space="preserve">Exposure cap: net open foreign-currency position ≤ 1.5 days of forecast payouts</t>
  </si>
  <si>
    <t xml:space="preserve">Maximum open FX position (USD)</t>
  </si>
  <si>
    <t xml:space="preserve">Float is Bantaba's own money advanced to payout points (company-funded float) plus balances at payout partners. Agents also post a refundable security deposit (see Agent Network Playbook).</t>
  </si>
  <si>
    <t xml:space="preserve">Scenario snapshot (static values — switch Assumptions!B3 for live view)</t>
  </si>
  <si>
    <t xml:space="preserve">Metric</t>
  </si>
  <si>
    <t xml:space="preserve">Base (1.0× volume)</t>
  </si>
  <si>
    <t xml:space="preserve">Conservative (0.6× volume)</t>
  </si>
  <si>
    <t xml:space="preserve">Upside (1.3× volume)</t>
  </si>
  <si>
    <t xml:space="preserve">Volume sent Y3 (USD)</t>
  </si>
  <si>
    <t xml:space="preserve">Volume sent Y5 (USD)</t>
  </si>
  <si>
    <t xml:space="preserve">Revenue Y3 (USD)</t>
  </si>
  <si>
    <t xml:space="preserve">Revenue Y5 (USD)</t>
  </si>
  <si>
    <t xml:space="preserve">EBITDA Y3 (USD)</t>
  </si>
  <si>
    <t xml:space="preserve">EBITDA Y4 (USD)</t>
  </si>
  <si>
    <t xml:space="preserve">EBITDA Y5 (USD)</t>
  </si>
  <si>
    <t xml:space="preserve">Cumulative EBITDA trough (USD)</t>
  </si>
  <si>
    <t xml:space="preserve">Lowest month-end cash, 60 months (USD)</t>
  </si>
  <si>
    <t xml:space="preserve">First EBITDA-positive month</t>
  </si>
  <si>
    <t xml:space="preserve">not reached</t>
  </si>
  <si>
    <t xml:space="preserve">Share of Gambia inflows Y4</t>
  </si>
  <si>
    <t xml:space="preserve">Year-end Y3 active senders (est.)</t>
  </si>
  <si>
    <t xml:space="preserve">Reading: in the Conservative case the business does not reach EBITDA breakeven within five years on this cost base, and lowest cash falls below zero without bridge funding or a leaner cost plan (slower hiring, agent-led send points). The Series A trigger therefore includes a volume gate.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</si>
</sst>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"/>
    <numFmt numFmtId="166" formatCode="0"/>
    <numFmt numFmtId="167" formatCode="#,##0;\(#,##0\);\-"/>
    <numFmt numFmtId="168" formatCode="\$#,##0;&quot;($&quot;#,##0\);\-"/>
    <numFmt numFmtId="169" formatCode="0.00%;\(0.00%\);\-"/>
    <numFmt numFmtId="170" formatCode="0.0"/>
    <numFmt numFmtId="171" formatCode="0.0%;\(0.0%\);\-"/>
    <numFmt numFmtId="172" formatCode="\$#,##0.00;&quot;($&quot;#,##0.00\);\-"/>
    <numFmt numFmtId="173" formatCode="0.0\x"/>
    <numFmt numFmtId="174" formatCode="\£#,##0.00"/>
    <numFmt numFmtId="175" formatCode="0.0000"/>
    <numFmt numFmtId="176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7B5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sz val="8"/>
      <color rgb="FF80808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0F7B5F"/>
        <bgColor rgb="FF008080"/>
      </patternFill>
    </fill>
    <fill>
      <patternFill patternType="solid">
        <fgColor rgb="FFE8F3EF"/>
        <bgColor rgb="FFFFF8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B5F"/>
      <rgbColor rgb="FFC0C0C0"/>
      <rgbColor rgb="FF808080"/>
      <rgbColor rgb="FF9999FF"/>
      <rgbColor rgb="FF993366"/>
      <rgbColor rgb="FFFFF8DC"/>
      <rgbColor rgb="FFE8F3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Volume sent by year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Annual!$C$4:$G$4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Annual!$C$6:$G$6</c:f>
              <c:numCache>
                <c:formatCode>\$#,##0;"($"#,##0\);\-</c:formatCode>
                <c:ptCount val="5"/>
                <c:pt idx="0">
                  <c:v>1179907.36803376</c:v>
                </c:pt>
                <c:pt idx="1">
                  <c:v>46431597.4969707</c:v>
                </c:pt>
                <c:pt idx="2">
                  <c:v>120699365.676019</c:v>
                </c:pt>
                <c:pt idx="3">
                  <c:v>168761147.389665</c:v>
                </c:pt>
                <c:pt idx="4">
                  <c:v>187536615.120233</c:v>
                </c:pt>
              </c:numCache>
            </c:numRef>
          </c:val>
        </c:ser>
        <c:gapWidth val="150"/>
        <c:overlap val="0"/>
        <c:axId val="60593782"/>
        <c:axId val="41860336"/>
      </c:barChart>
      <c:catAx>
        <c:axId val="60593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60336"/>
        <c:crosses val="autoZero"/>
        <c:auto val="1"/>
        <c:lblAlgn val="ctr"/>
        <c:lblOffset val="100"/>
        <c:noMultiLvlLbl val="0"/>
      </c:catAx>
      <c:valAx>
        <c:axId val="41860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937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by year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Annual!$C$4:$G$4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Annual!$C$29:$G$29</c:f>
              <c:numCache>
                <c:formatCode>\$#,##0;"($"#,##0\);\-</c:formatCode>
                <c:ptCount val="5"/>
                <c:pt idx="0">
                  <c:v>-1307418.2046408</c:v>
                </c:pt>
                <c:pt idx="1">
                  <c:v>-1221543.2585246</c:v>
                </c:pt>
                <c:pt idx="2">
                  <c:v>-402089.759284465</c:v>
                </c:pt>
                <c:pt idx="3">
                  <c:v>117312.159452715</c:v>
                </c:pt>
                <c:pt idx="4">
                  <c:v>251607.995153768</c:v>
                </c:pt>
              </c:numCache>
            </c:numRef>
          </c:val>
        </c:ser>
        <c:gapWidth val="150"/>
        <c:overlap val="0"/>
        <c:axId val="27735107"/>
        <c:axId val="33831844"/>
      </c:barChart>
      <c:catAx>
        <c:axId val="277351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31844"/>
        <c:crosses val="autoZero"/>
        <c:auto val="1"/>
        <c:lblAlgn val="ctr"/>
        <c:lblOffset val="100"/>
        <c:noMultiLvlLbl val="0"/>
      </c:catAx>
      <c:valAx>
        <c:axId val="338318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351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cash by month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Monthly!$C$4:$BJ$4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Monthly!$C$61:$BJ$61</c:f>
              <c:numCache>
                <c:formatCode>\$#,##0;"($"#,##0\);\-</c:formatCode>
                <c:ptCount val="60"/>
                <c:pt idx="0">
                  <c:v>3872041.66666667</c:v>
                </c:pt>
                <c:pt idx="1">
                  <c:v>3744083.33333333</c:v>
                </c:pt>
                <c:pt idx="2">
                  <c:v>3616125</c:v>
                </c:pt>
                <c:pt idx="3">
                  <c:v>3488166.66666667</c:v>
                </c:pt>
                <c:pt idx="4">
                  <c:v>3360208.33333333</c:v>
                </c:pt>
                <c:pt idx="5">
                  <c:v>3232250</c:v>
                </c:pt>
                <c:pt idx="6">
                  <c:v>3104291.66666667</c:v>
                </c:pt>
                <c:pt idx="7">
                  <c:v>2976333.33333333</c:v>
                </c:pt>
                <c:pt idx="8">
                  <c:v>2848375</c:v>
                </c:pt>
                <c:pt idx="9">
                  <c:v>2720416.66666667</c:v>
                </c:pt>
                <c:pt idx="10">
                  <c:v>2570562.22976095</c:v>
                </c:pt>
                <c:pt idx="11">
                  <c:v>2424905.82241515</c:v>
                </c:pt>
                <c:pt idx="12">
                  <c:v>2225992.79295025</c:v>
                </c:pt>
                <c:pt idx="13">
                  <c:v>2023757.1045615</c:v>
                </c:pt>
                <c:pt idx="14">
                  <c:v>1803495.04173734</c:v>
                </c:pt>
                <c:pt idx="15">
                  <c:v>1589635.41401755</c:v>
                </c:pt>
                <c:pt idx="16">
                  <c:v>1425552.08143144</c:v>
                </c:pt>
                <c:pt idx="17">
                  <c:v>1244031.29317423</c:v>
                </c:pt>
                <c:pt idx="18">
                  <c:v>1097171.42390952</c:v>
                </c:pt>
                <c:pt idx="19">
                  <c:v>938677.583772371</c:v>
                </c:pt>
                <c:pt idx="20">
                  <c:v>795682.156280007</c:v>
                </c:pt>
                <c:pt idx="21">
                  <c:v>5649243.96433538</c:v>
                </c:pt>
                <c:pt idx="22">
                  <c:v>5538543.97159753</c:v>
                </c:pt>
                <c:pt idx="23">
                  <c:v>5378952.84183583</c:v>
                </c:pt>
                <c:pt idx="24">
                  <c:v>5316354.53238569</c:v>
                </c:pt>
                <c:pt idx="25">
                  <c:v>5157295.44952271</c:v>
                </c:pt>
                <c:pt idx="26">
                  <c:v>4986387.67813409</c:v>
                </c:pt>
                <c:pt idx="27">
                  <c:v>4807205.12177135</c:v>
                </c:pt>
                <c:pt idx="28">
                  <c:v>4769177.50846954</c:v>
                </c:pt>
                <c:pt idx="29">
                  <c:v>4638624.19472961</c:v>
                </c:pt>
                <c:pt idx="30">
                  <c:v>4611269.54357295</c:v>
                </c:pt>
                <c:pt idx="31">
                  <c:v>4516877.33147794</c:v>
                </c:pt>
                <c:pt idx="32">
                  <c:v>4435405.77503917</c:v>
                </c:pt>
                <c:pt idx="33">
                  <c:v>4330044.84067935</c:v>
                </c:pt>
                <c:pt idx="34">
                  <c:v>4282949.44017167</c:v>
                </c:pt>
                <c:pt idx="35">
                  <c:v>4132357.7993269</c:v>
                </c:pt>
                <c:pt idx="36">
                  <c:v>4253145.23830496</c:v>
                </c:pt>
                <c:pt idx="37">
                  <c:v>4176086.85007379</c:v>
                </c:pt>
                <c:pt idx="38">
                  <c:v>4066088.40530827</c:v>
                </c:pt>
                <c:pt idx="39">
                  <c:v>3934785.11897122</c:v>
                </c:pt>
                <c:pt idx="40">
                  <c:v>4006404.20571532</c:v>
                </c:pt>
                <c:pt idx="41">
                  <c:v>3928692.25671779</c:v>
                </c:pt>
                <c:pt idx="42">
                  <c:v>4001619.69427652</c:v>
                </c:pt>
                <c:pt idx="43">
                  <c:v>3963126.84468054</c:v>
                </c:pt>
                <c:pt idx="44">
                  <c:v>3929387.23866694</c:v>
                </c:pt>
                <c:pt idx="45">
                  <c:v>3854968.92909708</c:v>
                </c:pt>
                <c:pt idx="46">
                  <c:v>3845364.58490991</c:v>
                </c:pt>
                <c:pt idx="47">
                  <c:v>3702015.22399399</c:v>
                </c:pt>
                <c:pt idx="48">
                  <c:v>3909089.06173885</c:v>
                </c:pt>
                <c:pt idx="49">
                  <c:v>3869862.39373344</c:v>
                </c:pt>
                <c:pt idx="50">
                  <c:v>3786627.46358128</c:v>
                </c:pt>
                <c:pt idx="51">
                  <c:v>3675153.60845369</c:v>
                </c:pt>
                <c:pt idx="52">
                  <c:v>3788869.85434906</c:v>
                </c:pt>
                <c:pt idx="53">
                  <c:v>3729001.44301029</c:v>
                </c:pt>
                <c:pt idx="54">
                  <c:v>3831710.02347933</c:v>
                </c:pt>
                <c:pt idx="55">
                  <c:v>3806670.8242755</c:v>
                </c:pt>
                <c:pt idx="56">
                  <c:v>3783380.24566452</c:v>
                </c:pt>
                <c:pt idx="57">
                  <c:v>3713234.51576494</c:v>
                </c:pt>
                <c:pt idx="58">
                  <c:v>3710311.78458007</c:v>
                </c:pt>
                <c:pt idx="59">
                  <c:v>3562516.13371136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404110"/>
        <c:axId val="69622373"/>
      </c:lineChart>
      <c:catAx>
        <c:axId val="374041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22373"/>
        <c:crosses val="autoZero"/>
        <c:auto val="1"/>
        <c:lblAlgn val="ctr"/>
        <c:lblOffset val="100"/>
        <c:noMultiLvlLbl val="0"/>
      </c:catAx>
      <c:valAx>
        <c:axId val="696223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041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17</xdr:col>
      <xdr:colOff>255960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1097280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130680</xdr:rowOff>
    </xdr:from>
    <xdr:to>
      <xdr:col>17</xdr:col>
      <xdr:colOff>255960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10972800" y="3619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34</xdr:row>
      <xdr:rowOff>131040</xdr:rowOff>
    </xdr:from>
    <xdr:to>
      <xdr:col>17</xdr:col>
      <xdr:colOff>255960</xdr:colOff>
      <xdr:row>48</xdr:row>
      <xdr:rowOff>163440</xdr:rowOff>
    </xdr:to>
    <xdr:graphicFrame>
      <xdr:nvGraphicFramePr>
        <xdr:cNvPr id="2" name="Chart 3"/>
        <xdr:cNvGraphicFramePr/>
      </xdr:nvGraphicFramePr>
      <xdr:xfrm>
        <a:off x="10972800" y="666756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23.8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23.8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2" t="s">
        <v>13</v>
      </c>
    </row>
    <row r="20" customFormat="false" ht="23.85" hidden="false" customHeight="false" outlineLevel="0" collapsed="false">
      <c r="A20" s="2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3" min="2" style="0" width="17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C2" s="4" t="s">
        <v>19</v>
      </c>
      <c r="D2" s="4" t="s">
        <v>20</v>
      </c>
      <c r="E2" s="4" t="s">
        <v>21</v>
      </c>
    </row>
    <row r="3" customFormat="false" ht="15" hidden="false" customHeight="false" outlineLevel="0" collapsed="false">
      <c r="A3" s="4" t="s">
        <v>22</v>
      </c>
      <c r="B3" s="5" t="n">
        <v>1</v>
      </c>
      <c r="C3" s="6" t="str">
        <f aca="false">INDEX(B6:B8,B3)</f>
        <v>Base</v>
      </c>
      <c r="D3" s="7" t="n">
        <f aca="false">INDEX(C6:C8,B3)</f>
        <v>1</v>
      </c>
      <c r="E3" s="7" t="n">
        <f aca="false">INDEX(D6:D8,B3)</f>
        <v>1</v>
      </c>
    </row>
    <row r="5" customFormat="false" ht="26.85" hidden="false" customHeight="false" outlineLevel="0" collapsed="false">
      <c r="A5" s="8" t="s">
        <v>23</v>
      </c>
      <c r="B5" s="9" t="s">
        <v>24</v>
      </c>
      <c r="C5" s="9" t="s">
        <v>25</v>
      </c>
      <c r="D5" s="9" t="s">
        <v>26</v>
      </c>
    </row>
    <row r="6" customFormat="false" ht="15" hidden="false" customHeight="false" outlineLevel="0" collapsed="false">
      <c r="A6" s="6" t="n">
        <v>1</v>
      </c>
      <c r="B6" s="6" t="s">
        <v>27</v>
      </c>
      <c r="C6" s="10" t="n">
        <v>1</v>
      </c>
      <c r="D6" s="10" t="n">
        <v>1</v>
      </c>
    </row>
    <row r="7" customFormat="false" ht="15" hidden="false" customHeight="false" outlineLevel="0" collapsed="false">
      <c r="A7" s="6" t="n">
        <v>2</v>
      </c>
      <c r="B7" s="6" t="s">
        <v>28</v>
      </c>
      <c r="C7" s="10" t="n">
        <v>0.6</v>
      </c>
      <c r="D7" s="10" t="n">
        <v>1</v>
      </c>
    </row>
    <row r="8" customFormat="false" ht="15" hidden="false" customHeight="false" outlineLevel="0" collapsed="false">
      <c r="A8" s="6" t="n">
        <v>3</v>
      </c>
      <c r="B8" s="6" t="s">
        <v>29</v>
      </c>
      <c r="C8" s="10" t="n">
        <v>1.3</v>
      </c>
      <c r="D8" s="10" t="n">
        <v>1</v>
      </c>
    </row>
    <row r="11" customFormat="false" ht="26.85" hidden="false" customHeight="false" outlineLevel="0" collapsed="false">
      <c r="A11" s="8" t="s">
        <v>30</v>
      </c>
      <c r="B11" s="9" t="s">
        <v>31</v>
      </c>
      <c r="C11" s="9" t="s">
        <v>32</v>
      </c>
      <c r="D11" s="9" t="s">
        <v>33</v>
      </c>
      <c r="E11" s="9" t="s">
        <v>34</v>
      </c>
      <c r="F11" s="9" t="s">
        <v>35</v>
      </c>
      <c r="G11" s="9" t="s">
        <v>36</v>
      </c>
      <c r="H11" s="9" t="s">
        <v>37</v>
      </c>
      <c r="I11" s="9" t="s">
        <v>38</v>
      </c>
    </row>
    <row r="12" customFormat="false" ht="15" hidden="false" customHeight="false" outlineLevel="0" collapsed="false">
      <c r="A12" s="6" t="s">
        <v>39</v>
      </c>
      <c r="B12" s="11" t="n">
        <v>11</v>
      </c>
      <c r="C12" s="12" t="n">
        <v>20000</v>
      </c>
      <c r="D12" s="11" t="n">
        <v>12</v>
      </c>
      <c r="E12" s="13" t="n">
        <v>230</v>
      </c>
      <c r="F12" s="14" t="n">
        <v>0.025</v>
      </c>
      <c r="G12" s="14" t="n">
        <v>0.015</v>
      </c>
      <c r="H12" s="15" t="n">
        <f aca="false">F12+G12</f>
        <v>0.04</v>
      </c>
      <c r="I12" s="11" t="n">
        <v>1</v>
      </c>
    </row>
    <row r="13" customFormat="false" ht="15" hidden="false" customHeight="false" outlineLevel="0" collapsed="false">
      <c r="A13" s="6" t="s">
        <v>40</v>
      </c>
      <c r="B13" s="11" t="n">
        <v>15</v>
      </c>
      <c r="C13" s="12" t="n">
        <v>13000</v>
      </c>
      <c r="D13" s="11" t="n">
        <v>12</v>
      </c>
      <c r="E13" s="13" t="n">
        <v>320</v>
      </c>
      <c r="F13" s="14" t="n">
        <v>0.021</v>
      </c>
      <c r="G13" s="14" t="n">
        <v>0.015</v>
      </c>
      <c r="H13" s="15" t="n">
        <f aca="false">F13+G13</f>
        <v>0.036</v>
      </c>
      <c r="I13" s="11" t="n">
        <v>1</v>
      </c>
    </row>
    <row r="14" customFormat="false" ht="15" hidden="false" customHeight="false" outlineLevel="0" collapsed="false">
      <c r="A14" s="6" t="s">
        <v>41</v>
      </c>
      <c r="B14" s="11" t="n">
        <v>19</v>
      </c>
      <c r="C14" s="12" t="n">
        <v>10000</v>
      </c>
      <c r="D14" s="11" t="n">
        <v>12</v>
      </c>
      <c r="E14" s="13" t="n">
        <v>300</v>
      </c>
      <c r="F14" s="14" t="n">
        <v>0.023</v>
      </c>
      <c r="G14" s="14" t="n">
        <v>0.015</v>
      </c>
      <c r="H14" s="15" t="n">
        <f aca="false">F14+G14</f>
        <v>0.038</v>
      </c>
      <c r="I14" s="11" t="n">
        <v>1</v>
      </c>
    </row>
    <row r="15" customFormat="false" ht="15" hidden="false" customHeight="false" outlineLevel="0" collapsed="false">
      <c r="A15" s="6" t="s">
        <v>42</v>
      </c>
      <c r="B15" s="11" t="n">
        <v>25</v>
      </c>
      <c r="C15" s="12" t="n">
        <v>24000</v>
      </c>
      <c r="D15" s="11" t="n">
        <v>12</v>
      </c>
      <c r="E15" s="13" t="n">
        <v>110</v>
      </c>
      <c r="F15" s="14" t="n">
        <v>0.024</v>
      </c>
      <c r="G15" s="14" t="n">
        <v>0.012</v>
      </c>
      <c r="H15" s="15" t="n">
        <f aca="false">F15+G15</f>
        <v>0.036</v>
      </c>
      <c r="I15" s="11" t="n">
        <v>0</v>
      </c>
    </row>
    <row r="16" customFormat="false" ht="15" hidden="false" customHeight="false" outlineLevel="0" collapsed="false">
      <c r="A16" s="6" t="s">
        <v>43</v>
      </c>
      <c r="B16" s="11" t="n">
        <v>31</v>
      </c>
      <c r="C16" s="12" t="n">
        <v>10000</v>
      </c>
      <c r="D16" s="11" t="n">
        <v>12</v>
      </c>
      <c r="E16" s="13" t="n">
        <v>130</v>
      </c>
      <c r="F16" s="14" t="n">
        <v>0.026</v>
      </c>
      <c r="G16" s="14" t="n">
        <v>0.02</v>
      </c>
      <c r="H16" s="15" t="n">
        <f aca="false">F16+G16</f>
        <v>0.046</v>
      </c>
      <c r="I16" s="11" t="n">
        <v>0</v>
      </c>
    </row>
    <row r="17" customFormat="false" ht="15" hidden="false" customHeight="false" outlineLevel="0" collapsed="false">
      <c r="A17" s="6" t="s">
        <v>44</v>
      </c>
      <c r="B17" s="11" t="n">
        <v>31</v>
      </c>
      <c r="C17" s="12" t="n">
        <v>7000</v>
      </c>
      <c r="D17" s="11" t="n">
        <v>12</v>
      </c>
      <c r="E17" s="13" t="n">
        <v>110</v>
      </c>
      <c r="F17" s="14" t="n">
        <v>0.024</v>
      </c>
      <c r="G17" s="14" t="n">
        <v>0.012</v>
      </c>
      <c r="H17" s="15" t="n">
        <f aca="false">F17+G17</f>
        <v>0.036</v>
      </c>
      <c r="I17" s="11" t="n">
        <v>0</v>
      </c>
    </row>
    <row r="18" customFormat="false" ht="15" hidden="false" customHeight="false" outlineLevel="0" collapsed="false">
      <c r="A18" s="16" t="s">
        <v>45</v>
      </c>
    </row>
    <row r="20" customFormat="false" ht="15" hidden="false" customHeight="false" outlineLevel="0" collapsed="false">
      <c r="A20" s="4" t="s">
        <v>46</v>
      </c>
    </row>
    <row r="21" customFormat="false" ht="15" hidden="false" customHeight="false" outlineLevel="0" collapsed="false">
      <c r="A21" s="8" t="s">
        <v>47</v>
      </c>
      <c r="B21" s="9" t="s">
        <v>48</v>
      </c>
      <c r="C21" s="9" t="s">
        <v>49</v>
      </c>
      <c r="D21" s="9" t="s">
        <v>50</v>
      </c>
      <c r="E21" s="9" t="s">
        <v>51</v>
      </c>
      <c r="F21" s="9" t="s">
        <v>52</v>
      </c>
      <c r="G21" s="9" t="s">
        <v>53</v>
      </c>
      <c r="H21" s="9" t="s">
        <v>54</v>
      </c>
      <c r="I21" s="9" t="s">
        <v>55</v>
      </c>
      <c r="J21" s="9" t="s">
        <v>56</v>
      </c>
      <c r="K21" s="9" t="s">
        <v>57</v>
      </c>
      <c r="L21" s="9" t="s">
        <v>58</v>
      </c>
      <c r="M21" s="9" t="s">
        <v>59</v>
      </c>
    </row>
    <row r="22" customFormat="false" ht="15" hidden="false" customHeight="false" outlineLevel="0" collapsed="false">
      <c r="A22" s="6" t="s">
        <v>60</v>
      </c>
      <c r="B22" s="10" t="n">
        <v>0.95</v>
      </c>
      <c r="C22" s="10" t="n">
        <v>0.95</v>
      </c>
      <c r="D22" s="10" t="n">
        <v>1</v>
      </c>
      <c r="E22" s="10" t="n">
        <v>1.1</v>
      </c>
      <c r="F22" s="10" t="n">
        <v>1</v>
      </c>
      <c r="G22" s="10" t="n">
        <v>1.05</v>
      </c>
      <c r="H22" s="10" t="n">
        <v>0.95</v>
      </c>
      <c r="I22" s="10" t="n">
        <v>0.95</v>
      </c>
      <c r="J22" s="10" t="n">
        <v>0.95</v>
      </c>
      <c r="K22" s="10" t="n">
        <v>1</v>
      </c>
      <c r="L22" s="10" t="n">
        <v>1</v>
      </c>
      <c r="M22" s="10" t="n">
        <v>1.15</v>
      </c>
    </row>
    <row r="25" customFormat="false" ht="15" hidden="false" customHeight="false" outlineLevel="0" collapsed="false">
      <c r="A25" s="8" t="s">
        <v>61</v>
      </c>
      <c r="B25" s="9" t="s">
        <v>62</v>
      </c>
    </row>
    <row r="26" customFormat="false" ht="15" hidden="false" customHeight="false" outlineLevel="0" collapsed="false">
      <c r="A26" s="6" t="s">
        <v>63</v>
      </c>
      <c r="B26" s="14" t="n">
        <v>0.007</v>
      </c>
    </row>
    <row r="27" customFormat="false" ht="15" hidden="false" customHeight="false" outlineLevel="0" collapsed="false">
      <c r="A27" s="6" t="s">
        <v>64</v>
      </c>
      <c r="B27" s="14" t="n">
        <v>0.0025</v>
      </c>
    </row>
    <row r="28" customFormat="false" ht="15" hidden="false" customHeight="false" outlineLevel="0" collapsed="false">
      <c r="A28" s="6" t="s">
        <v>65</v>
      </c>
      <c r="B28" s="14" t="n">
        <v>0.003</v>
      </c>
    </row>
    <row r="29" customFormat="false" ht="15" hidden="false" customHeight="false" outlineLevel="0" collapsed="false">
      <c r="A29" s="6" t="s">
        <v>66</v>
      </c>
      <c r="B29" s="14" t="n">
        <v>0.001</v>
      </c>
    </row>
    <row r="30" customFormat="false" ht="15" hidden="false" customHeight="false" outlineLevel="0" collapsed="false">
      <c r="A30" s="6" t="s">
        <v>67</v>
      </c>
      <c r="B30" s="14" t="n">
        <v>0.0012</v>
      </c>
    </row>
    <row r="31" customFormat="false" ht="15" hidden="false" customHeight="false" outlineLevel="0" collapsed="false">
      <c r="A31" s="6" t="s">
        <v>68</v>
      </c>
      <c r="B31" s="14" t="n">
        <v>0.0015</v>
      </c>
    </row>
    <row r="32" customFormat="false" ht="15" hidden="false" customHeight="false" outlineLevel="0" collapsed="false">
      <c r="A32" s="4" t="s">
        <v>69</v>
      </c>
      <c r="B32" s="17" t="n">
        <f aca="false">SUM(B26:B31)</f>
        <v>0.0162</v>
      </c>
    </row>
    <row r="35" customFormat="false" ht="15" hidden="false" customHeight="false" outlineLevel="0" collapsed="false">
      <c r="A35" s="8" t="s">
        <v>70</v>
      </c>
      <c r="B35" s="9" t="s">
        <v>71</v>
      </c>
      <c r="C35" s="9" t="s">
        <v>72</v>
      </c>
      <c r="D35" s="9" t="s">
        <v>73</v>
      </c>
      <c r="E35" s="9" t="s">
        <v>74</v>
      </c>
      <c r="F35" s="9" t="s">
        <v>75</v>
      </c>
    </row>
    <row r="36" customFormat="false" ht="15" hidden="false" customHeight="false" outlineLevel="0" collapsed="false">
      <c r="A36" s="6" t="s">
        <v>76</v>
      </c>
      <c r="B36" s="18" t="n">
        <f aca="false">Headcount!J16</f>
        <v>725500</v>
      </c>
      <c r="C36" s="18" t="n">
        <f aca="false">Headcount!K16</f>
        <v>1108500</v>
      </c>
      <c r="D36" s="18" t="n">
        <f aca="false">Headcount!L16</f>
        <v>1557500</v>
      </c>
      <c r="E36" s="18" t="n">
        <f aca="false">Headcount!M16</f>
        <v>1892500</v>
      </c>
      <c r="F36" s="18" t="n">
        <f aca="false">Headcount!N16</f>
        <v>2042000</v>
      </c>
    </row>
    <row r="37" customFormat="false" ht="15" hidden="false" customHeight="false" outlineLevel="0" collapsed="false">
      <c r="A37" s="6" t="s">
        <v>77</v>
      </c>
      <c r="B37" s="13" t="n">
        <v>60000</v>
      </c>
      <c r="C37" s="13" t="n">
        <v>200000</v>
      </c>
      <c r="D37" s="13" t="n">
        <v>300000</v>
      </c>
      <c r="E37" s="13" t="n">
        <v>360000</v>
      </c>
      <c r="F37" s="13" t="n">
        <v>400000</v>
      </c>
    </row>
    <row r="38" customFormat="false" ht="15" hidden="false" customHeight="false" outlineLevel="0" collapsed="false">
      <c r="A38" s="6" t="s">
        <v>78</v>
      </c>
      <c r="B38" s="13" t="n">
        <v>280000</v>
      </c>
      <c r="C38" s="13" t="n">
        <v>360000</v>
      </c>
      <c r="D38" s="13" t="n">
        <v>360000</v>
      </c>
      <c r="E38" s="13" t="n">
        <v>380000</v>
      </c>
      <c r="F38" s="13" t="n">
        <v>400000</v>
      </c>
    </row>
    <row r="39" customFormat="false" ht="15" hidden="false" customHeight="false" outlineLevel="0" collapsed="false">
      <c r="A39" s="6" t="s">
        <v>79</v>
      </c>
      <c r="B39" s="13" t="n">
        <v>140000</v>
      </c>
      <c r="C39" s="13" t="n">
        <v>220000</v>
      </c>
      <c r="D39" s="13" t="n">
        <v>300000</v>
      </c>
      <c r="E39" s="13" t="n">
        <v>380000</v>
      </c>
      <c r="F39" s="13" t="n">
        <v>420000</v>
      </c>
    </row>
    <row r="40" customFormat="false" ht="15" hidden="false" customHeight="false" outlineLevel="0" collapsed="false">
      <c r="A40" s="6" t="s">
        <v>80</v>
      </c>
      <c r="B40" s="13" t="n">
        <v>50000</v>
      </c>
      <c r="C40" s="13" t="n">
        <v>220000</v>
      </c>
      <c r="D40" s="13" t="n">
        <v>320000</v>
      </c>
      <c r="E40" s="13" t="n">
        <v>340000</v>
      </c>
      <c r="F40" s="13" t="n">
        <v>360000</v>
      </c>
    </row>
    <row r="41" customFormat="false" ht="15" hidden="false" customHeight="false" outlineLevel="0" collapsed="false">
      <c r="A41" s="6" t="s">
        <v>81</v>
      </c>
      <c r="B41" s="13" t="n">
        <v>80000</v>
      </c>
      <c r="C41" s="13" t="n">
        <v>150000</v>
      </c>
      <c r="D41" s="13" t="n">
        <v>200000</v>
      </c>
      <c r="E41" s="13" t="n">
        <v>240000</v>
      </c>
      <c r="F41" s="13" t="n">
        <v>260000</v>
      </c>
    </row>
    <row r="42" customFormat="false" ht="15" hidden="false" customHeight="false" outlineLevel="0" collapsed="false">
      <c r="A42" s="4" t="s">
        <v>82</v>
      </c>
      <c r="B42" s="19" t="n">
        <f aca="false">SUM(B36:B41)</f>
        <v>1335500</v>
      </c>
      <c r="C42" s="19" t="n">
        <f aca="false">SUM(C36:C41)</f>
        <v>2258500</v>
      </c>
      <c r="D42" s="19" t="n">
        <f aca="false">SUM(D36:D41)</f>
        <v>3037500</v>
      </c>
      <c r="E42" s="19" t="n">
        <f aca="false">SUM(E36:E41)</f>
        <v>3592500</v>
      </c>
      <c r="F42" s="19" t="n">
        <f aca="false">SUM(F36:F41)</f>
        <v>3882000</v>
      </c>
    </row>
    <row r="43" customFormat="false" ht="15" hidden="false" customHeight="false" outlineLevel="0" collapsed="false">
      <c r="A43" s="6" t="s">
        <v>83</v>
      </c>
      <c r="B43" s="13" t="n">
        <v>200000</v>
      </c>
      <c r="C43" s="13" t="n">
        <v>250000</v>
      </c>
      <c r="D43" s="13" t="n">
        <v>300000</v>
      </c>
      <c r="E43" s="13" t="n">
        <v>300000</v>
      </c>
      <c r="F43" s="13" t="n">
        <v>300000</v>
      </c>
    </row>
    <row r="46" customFormat="false" ht="15" hidden="false" customHeight="false" outlineLevel="0" collapsed="false">
      <c r="A46" s="8" t="s">
        <v>84</v>
      </c>
      <c r="B46" s="9" t="s">
        <v>85</v>
      </c>
    </row>
    <row r="47" customFormat="false" ht="15" hidden="false" customHeight="false" outlineLevel="0" collapsed="false">
      <c r="A47" s="6" t="s">
        <v>86</v>
      </c>
      <c r="B47" s="13" t="n">
        <v>4000000</v>
      </c>
    </row>
    <row r="48" customFormat="false" ht="15" hidden="false" customHeight="false" outlineLevel="0" collapsed="false">
      <c r="A48" s="6" t="s">
        <v>87</v>
      </c>
      <c r="B48" s="11" t="n">
        <v>1</v>
      </c>
    </row>
    <row r="49" customFormat="false" ht="15" hidden="false" customHeight="false" outlineLevel="0" collapsed="false">
      <c r="A49" s="6" t="s">
        <v>88</v>
      </c>
      <c r="B49" s="13" t="n">
        <v>5000000</v>
      </c>
    </row>
    <row r="50" customFormat="false" ht="15" hidden="false" customHeight="false" outlineLevel="0" collapsed="false">
      <c r="A50" s="6" t="s">
        <v>89</v>
      </c>
      <c r="B50" s="11" t="n">
        <v>22</v>
      </c>
    </row>
    <row r="51" customFormat="false" ht="15" hidden="false" customHeight="false" outlineLevel="0" collapsed="false">
      <c r="A51" s="6" t="s">
        <v>90</v>
      </c>
      <c r="B51" s="20" t="n">
        <v>2.5</v>
      </c>
    </row>
    <row r="52" customFormat="false" ht="15" hidden="false" customHeight="false" outlineLevel="0" collapsed="false">
      <c r="A52" s="6" t="s">
        <v>91</v>
      </c>
      <c r="B52" s="10" t="n">
        <v>0.75</v>
      </c>
    </row>
    <row r="53" customFormat="false" ht="15" hidden="false" customHeight="false" outlineLevel="0" collapsed="false">
      <c r="A53" s="6" t="s">
        <v>92</v>
      </c>
      <c r="B53" s="13" t="n">
        <v>872000000</v>
      </c>
    </row>
    <row r="54" customFormat="false" ht="15" hidden="false" customHeight="false" outlineLevel="0" collapsed="false">
      <c r="A54" s="6" t="s">
        <v>93</v>
      </c>
      <c r="B54" s="21" t="n">
        <v>0.06</v>
      </c>
    </row>
    <row r="55" customFormat="false" ht="15" hidden="false" customHeight="false" outlineLevel="0" collapsed="false">
      <c r="A55" s="6" t="s">
        <v>94</v>
      </c>
      <c r="B55" s="11" t="n">
        <v>2027</v>
      </c>
    </row>
    <row r="58" customFormat="false" ht="15" hidden="false" customHeight="false" outlineLevel="0" collapsed="false">
      <c r="A58" s="8" t="s">
        <v>95</v>
      </c>
      <c r="B58" s="9" t="s">
        <v>85</v>
      </c>
    </row>
    <row r="59" customFormat="false" ht="15" hidden="false" customHeight="false" outlineLevel="0" collapsed="false">
      <c r="A59" s="6" t="s">
        <v>96</v>
      </c>
      <c r="B59" s="22" t="n">
        <v>22</v>
      </c>
    </row>
    <row r="60" customFormat="false" ht="15" hidden="false" customHeight="false" outlineLevel="0" collapsed="false">
      <c r="A60" s="6" t="s">
        <v>97</v>
      </c>
      <c r="B60" s="20" t="n">
        <v>9</v>
      </c>
    </row>
    <row r="61" customFormat="false" ht="15" hidden="false" customHeight="false" outlineLevel="0" collapsed="false">
      <c r="A61" s="6" t="s">
        <v>98</v>
      </c>
      <c r="B61" s="21" t="n">
        <v>1</v>
      </c>
    </row>
    <row r="62" customFormat="false" ht="15" hidden="false" customHeight="false" outlineLevel="0" collapsed="false">
      <c r="A62" s="6" t="s">
        <v>99</v>
      </c>
      <c r="B62" s="21" t="n">
        <v>0.62</v>
      </c>
    </row>
    <row r="63" customFormat="false" ht="15" hidden="false" customHeight="false" outlineLevel="0" collapsed="false">
      <c r="A63" s="6" t="s">
        <v>100</v>
      </c>
      <c r="B63" s="21" t="n">
        <v>0.55</v>
      </c>
    </row>
  </sheetData>
  <dataValidations count="1">
    <dataValidation allowBlank="false" errorStyle="stop" operator="between" showDropDown="false" showErrorMessage="false" showInputMessage="false" sqref="B3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4"/>
  </cols>
  <sheetData>
    <row r="1" customFormat="false" ht="19.7" hidden="false" customHeight="false" outlineLevel="0" collapsed="false">
      <c r="A1" s="1" t="s">
        <v>101</v>
      </c>
    </row>
    <row r="3" customFormat="false" ht="26.85" hidden="false" customHeight="false" outlineLevel="0" collapsed="false">
      <c r="A3" s="8" t="s">
        <v>102</v>
      </c>
      <c r="B3" s="9" t="s">
        <v>103</v>
      </c>
      <c r="C3" s="9" t="s">
        <v>104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/>
      <c r="J3" s="9" t="s">
        <v>105</v>
      </c>
      <c r="K3" s="9" t="s">
        <v>106</v>
      </c>
      <c r="L3" s="9" t="s">
        <v>107</v>
      </c>
      <c r="M3" s="9" t="s">
        <v>108</v>
      </c>
      <c r="N3" s="9" t="s">
        <v>109</v>
      </c>
    </row>
    <row r="4" customFormat="false" ht="15" hidden="false" customHeight="false" outlineLevel="0" collapsed="false">
      <c r="A4" s="6" t="s">
        <v>110</v>
      </c>
      <c r="B4" s="13" t="n">
        <v>90000</v>
      </c>
      <c r="C4" s="11" t="n">
        <v>3</v>
      </c>
      <c r="D4" s="11" t="n">
        <v>3</v>
      </c>
      <c r="E4" s="11" t="n">
        <v>3</v>
      </c>
      <c r="F4" s="11" t="n">
        <v>4</v>
      </c>
      <c r="G4" s="11" t="n">
        <v>4</v>
      </c>
      <c r="H4" s="11" t="n">
        <v>4</v>
      </c>
      <c r="J4" s="23" t="n">
        <f aca="false">AVERAGE(C4,D4)*$B4</f>
        <v>270000</v>
      </c>
      <c r="K4" s="23" t="n">
        <f aca="false">AVERAGE(D4,E4)*$B4</f>
        <v>270000</v>
      </c>
      <c r="L4" s="23" t="n">
        <f aca="false">AVERAGE(E4,F4)*$B4</f>
        <v>315000</v>
      </c>
      <c r="M4" s="23" t="n">
        <f aca="false">AVERAGE(F4,G4)*$B4</f>
        <v>360000</v>
      </c>
      <c r="N4" s="23" t="n">
        <f aca="false">AVERAGE(G4,H4)*$B4</f>
        <v>360000</v>
      </c>
    </row>
    <row r="5" customFormat="false" ht="15" hidden="false" customHeight="false" outlineLevel="0" collapsed="false">
      <c r="A5" s="6" t="s">
        <v>111</v>
      </c>
      <c r="B5" s="13" t="n">
        <v>70000</v>
      </c>
      <c r="C5" s="11" t="n">
        <v>3</v>
      </c>
      <c r="D5" s="11" t="n">
        <v>4</v>
      </c>
      <c r="E5" s="11" t="n">
        <v>5</v>
      </c>
      <c r="F5" s="11" t="n">
        <v>6</v>
      </c>
      <c r="G5" s="11" t="n">
        <v>6</v>
      </c>
      <c r="H5" s="11" t="n">
        <v>7</v>
      </c>
      <c r="J5" s="23" t="n">
        <f aca="false">AVERAGE(C5,D5)*$B5</f>
        <v>245000</v>
      </c>
      <c r="K5" s="23" t="n">
        <f aca="false">AVERAGE(D5,E5)*$B5</f>
        <v>315000</v>
      </c>
      <c r="L5" s="23" t="n">
        <f aca="false">AVERAGE(E5,F5)*$B5</f>
        <v>385000</v>
      </c>
      <c r="M5" s="23" t="n">
        <f aca="false">AVERAGE(F5,G5)*$B5</f>
        <v>420000</v>
      </c>
      <c r="N5" s="23" t="n">
        <f aca="false">AVERAGE(G5,H5)*$B5</f>
        <v>455000</v>
      </c>
    </row>
    <row r="6" customFormat="false" ht="15" hidden="false" customHeight="false" outlineLevel="0" collapsed="false">
      <c r="A6" s="6" t="s">
        <v>112</v>
      </c>
      <c r="B6" s="13" t="n">
        <v>55000</v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5</v>
      </c>
      <c r="J6" s="23" t="n">
        <f aca="false">AVERAGE(C6,D6)*$B6</f>
        <v>82500</v>
      </c>
      <c r="K6" s="23" t="n">
        <f aca="false">AVERAGE(D6,E6)*$B6</f>
        <v>137500</v>
      </c>
      <c r="L6" s="23" t="n">
        <f aca="false">AVERAGE(E6,F6)*$B6</f>
        <v>192500</v>
      </c>
      <c r="M6" s="23" t="n">
        <f aca="false">AVERAGE(F6,G6)*$B6</f>
        <v>247500</v>
      </c>
      <c r="N6" s="23" t="n">
        <f aca="false">AVERAGE(G6,H6)*$B6</f>
        <v>275000</v>
      </c>
    </row>
    <row r="7" customFormat="false" ht="15" hidden="false" customHeight="false" outlineLevel="0" collapsed="false">
      <c r="A7" s="6" t="s">
        <v>113</v>
      </c>
      <c r="B7" s="13" t="n">
        <v>50000</v>
      </c>
      <c r="C7" s="11" t="n">
        <v>0</v>
      </c>
      <c r="D7" s="11" t="n">
        <v>1</v>
      </c>
      <c r="E7" s="11" t="n">
        <v>2</v>
      </c>
      <c r="F7" s="11" t="n">
        <v>3</v>
      </c>
      <c r="G7" s="11" t="n">
        <v>3</v>
      </c>
      <c r="H7" s="11" t="n">
        <v>3</v>
      </c>
      <c r="J7" s="23" t="n">
        <f aca="false">AVERAGE(C7,D7)*$B7</f>
        <v>25000</v>
      </c>
      <c r="K7" s="23" t="n">
        <f aca="false">AVERAGE(D7,E7)*$B7</f>
        <v>75000</v>
      </c>
      <c r="L7" s="23" t="n">
        <f aca="false">AVERAGE(E7,F7)*$B7</f>
        <v>125000</v>
      </c>
      <c r="M7" s="23" t="n">
        <f aca="false">AVERAGE(F7,G7)*$B7</f>
        <v>150000</v>
      </c>
      <c r="N7" s="23" t="n">
        <f aca="false">AVERAGE(G7,H7)*$B7</f>
        <v>150000</v>
      </c>
    </row>
    <row r="8" customFormat="false" ht="15" hidden="false" customHeight="false" outlineLevel="0" collapsed="false">
      <c r="A8" s="6" t="s">
        <v>114</v>
      </c>
      <c r="B8" s="13" t="n">
        <v>20000</v>
      </c>
      <c r="C8" s="11" t="n">
        <v>1</v>
      </c>
      <c r="D8" s="11" t="n">
        <v>3</v>
      </c>
      <c r="E8" s="11" t="n">
        <v>5</v>
      </c>
      <c r="F8" s="11" t="n">
        <v>7</v>
      </c>
      <c r="G8" s="11" t="n">
        <v>9</v>
      </c>
      <c r="H8" s="11" t="n">
        <v>10</v>
      </c>
      <c r="J8" s="23" t="n">
        <f aca="false">AVERAGE(C8,D8)*$B8</f>
        <v>40000</v>
      </c>
      <c r="K8" s="23" t="n">
        <f aca="false">AVERAGE(D8,E8)*$B8</f>
        <v>80000</v>
      </c>
      <c r="L8" s="23" t="n">
        <f aca="false">AVERAGE(E8,F8)*$B8</f>
        <v>120000</v>
      </c>
      <c r="M8" s="23" t="n">
        <f aca="false">AVERAGE(F8,G8)*$B8</f>
        <v>160000</v>
      </c>
      <c r="N8" s="23" t="n">
        <f aca="false">AVERAGE(G8,H8)*$B8</f>
        <v>190000</v>
      </c>
    </row>
    <row r="9" customFormat="false" ht="15" hidden="false" customHeight="false" outlineLevel="0" collapsed="false">
      <c r="A9" s="6" t="s">
        <v>115</v>
      </c>
      <c r="B9" s="13" t="n">
        <v>36000</v>
      </c>
      <c r="C9" s="11" t="n">
        <v>0</v>
      </c>
      <c r="D9" s="11" t="n">
        <v>2</v>
      </c>
      <c r="E9" s="11" t="n">
        <v>4</v>
      </c>
      <c r="F9" s="11" t="n">
        <v>5</v>
      </c>
      <c r="G9" s="11" t="n">
        <v>5</v>
      </c>
      <c r="H9" s="11" t="n">
        <v>5</v>
      </c>
      <c r="J9" s="23" t="n">
        <f aca="false">AVERAGE(C9,D9)*$B9</f>
        <v>36000</v>
      </c>
      <c r="K9" s="23" t="n">
        <f aca="false">AVERAGE(D9,E9)*$B9</f>
        <v>108000</v>
      </c>
      <c r="L9" s="23" t="n">
        <f aca="false">AVERAGE(E9,F9)*$B9</f>
        <v>162000</v>
      </c>
      <c r="M9" s="23" t="n">
        <f aca="false">AVERAGE(F9,G9)*$B9</f>
        <v>180000</v>
      </c>
      <c r="N9" s="23" t="n">
        <f aca="false">AVERAGE(G9,H9)*$B9</f>
        <v>180000</v>
      </c>
    </row>
    <row r="10" customFormat="false" ht="15" hidden="false" customHeight="false" outlineLevel="0" collapsed="false">
      <c r="A10" s="6" t="s">
        <v>116</v>
      </c>
      <c r="B10" s="13" t="n">
        <v>18000</v>
      </c>
      <c r="C10" s="11" t="n">
        <v>0</v>
      </c>
      <c r="D10" s="11" t="n">
        <v>0</v>
      </c>
      <c r="E10" s="11" t="n">
        <v>3</v>
      </c>
      <c r="F10" s="11" t="n">
        <v>4</v>
      </c>
      <c r="G10" s="11" t="n">
        <v>5</v>
      </c>
      <c r="H10" s="11" t="n">
        <v>5</v>
      </c>
      <c r="J10" s="23" t="n">
        <f aca="false">AVERAGE(C10,D10)*$B10</f>
        <v>0</v>
      </c>
      <c r="K10" s="23" t="n">
        <f aca="false">AVERAGE(D10,E10)*$B10</f>
        <v>27000</v>
      </c>
      <c r="L10" s="23" t="n">
        <f aca="false">AVERAGE(E10,F10)*$B10</f>
        <v>63000</v>
      </c>
      <c r="M10" s="23" t="n">
        <f aca="false">AVERAGE(F10,G10)*$B10</f>
        <v>81000</v>
      </c>
      <c r="N10" s="23" t="n">
        <f aca="false">AVERAGE(G10,H10)*$B10</f>
        <v>90000</v>
      </c>
    </row>
    <row r="11" customFormat="false" ht="15" hidden="false" customHeight="false" outlineLevel="0" collapsed="false">
      <c r="A11" s="6" t="s">
        <v>117</v>
      </c>
      <c r="B11" s="13" t="n">
        <v>30000</v>
      </c>
      <c r="C11" s="11" t="n">
        <v>0</v>
      </c>
      <c r="D11" s="11" t="n">
        <v>0</v>
      </c>
      <c r="E11" s="11" t="n">
        <v>1</v>
      </c>
      <c r="F11" s="11" t="n">
        <v>3</v>
      </c>
      <c r="G11" s="11" t="n">
        <v>4</v>
      </c>
      <c r="H11" s="11" t="n">
        <v>4</v>
      </c>
      <c r="J11" s="23" t="n">
        <f aca="false">AVERAGE(C11,D11)*$B11</f>
        <v>0</v>
      </c>
      <c r="K11" s="23" t="n">
        <f aca="false">AVERAGE(D11,E11)*$B11</f>
        <v>15000</v>
      </c>
      <c r="L11" s="23" t="n">
        <f aca="false">AVERAGE(E11,F11)*$B11</f>
        <v>60000</v>
      </c>
      <c r="M11" s="23" t="n">
        <f aca="false">AVERAGE(F11,G11)*$B11</f>
        <v>105000</v>
      </c>
      <c r="N11" s="23" t="n">
        <f aca="false">AVERAGE(G11,H11)*$B11</f>
        <v>120000</v>
      </c>
    </row>
    <row r="12" customFormat="false" ht="15" hidden="false" customHeight="false" outlineLevel="0" collapsed="false">
      <c r="A12" s="6" t="s">
        <v>118</v>
      </c>
      <c r="B12" s="13" t="n">
        <v>12000</v>
      </c>
      <c r="C12" s="11" t="n">
        <v>0</v>
      </c>
      <c r="D12" s="11" t="n">
        <v>2</v>
      </c>
      <c r="E12" s="11" t="n">
        <v>4</v>
      </c>
      <c r="F12" s="11" t="n">
        <v>6</v>
      </c>
      <c r="G12" s="11" t="n">
        <v>8</v>
      </c>
      <c r="H12" s="11" t="n">
        <v>9</v>
      </c>
      <c r="J12" s="23" t="n">
        <f aca="false">AVERAGE(C12,D12)*$B12</f>
        <v>12000</v>
      </c>
      <c r="K12" s="23" t="n">
        <f aca="false">AVERAGE(D12,E12)*$B12</f>
        <v>36000</v>
      </c>
      <c r="L12" s="23" t="n">
        <f aca="false">AVERAGE(E12,F12)*$B12</f>
        <v>60000</v>
      </c>
      <c r="M12" s="23" t="n">
        <f aca="false">AVERAGE(F12,G12)*$B12</f>
        <v>84000</v>
      </c>
      <c r="N12" s="23" t="n">
        <f aca="false">AVERAGE(G12,H12)*$B12</f>
        <v>102000</v>
      </c>
    </row>
    <row r="13" customFormat="false" ht="15" hidden="false" customHeight="false" outlineLevel="0" collapsed="false">
      <c r="A13" s="6" t="s">
        <v>119</v>
      </c>
      <c r="B13" s="13" t="n">
        <v>30000</v>
      </c>
      <c r="C13" s="11" t="n">
        <v>0</v>
      </c>
      <c r="D13" s="11" t="n">
        <v>1</v>
      </c>
      <c r="E13" s="11" t="n">
        <v>2</v>
      </c>
      <c r="F13" s="11" t="n">
        <v>3</v>
      </c>
      <c r="G13" s="11" t="n">
        <v>4</v>
      </c>
      <c r="H13" s="11" t="n">
        <v>4</v>
      </c>
      <c r="J13" s="23" t="n">
        <f aca="false">AVERAGE(C13,D13)*$B13</f>
        <v>15000</v>
      </c>
      <c r="K13" s="23" t="n">
        <f aca="false">AVERAGE(D13,E13)*$B13</f>
        <v>45000</v>
      </c>
      <c r="L13" s="23" t="n">
        <f aca="false">AVERAGE(E13,F13)*$B13</f>
        <v>75000</v>
      </c>
      <c r="M13" s="23" t="n">
        <f aca="false">AVERAGE(F13,G13)*$B13</f>
        <v>105000</v>
      </c>
      <c r="N13" s="23" t="n">
        <f aca="false">AVERAGE(G13,H13)*$B13</f>
        <v>120000</v>
      </c>
    </row>
    <row r="16" customFormat="false" ht="15" hidden="false" customHeight="false" outlineLevel="0" collapsed="false">
      <c r="A16" s="4" t="s">
        <v>120</v>
      </c>
      <c r="C16" s="24" t="n">
        <f aca="false">SUM(C4:C13)</f>
        <v>8</v>
      </c>
      <c r="D16" s="24" t="n">
        <f aca="false">SUM(D4:D13)</f>
        <v>18</v>
      </c>
      <c r="E16" s="24" t="n">
        <f aca="false">SUM(E4:E13)</f>
        <v>32</v>
      </c>
      <c r="F16" s="24" t="n">
        <f aca="false">SUM(F4:F13)</f>
        <v>45</v>
      </c>
      <c r="G16" s="24" t="n">
        <f aca="false">SUM(G4:G13)</f>
        <v>53</v>
      </c>
      <c r="H16" s="24" t="n">
        <f aca="false">SUM(H4:H13)</f>
        <v>56</v>
      </c>
      <c r="J16" s="19" t="n">
        <f aca="false">SUM(J4:J13)</f>
        <v>725500</v>
      </c>
      <c r="K16" s="19" t="n">
        <f aca="false">SUM(K4:K13)</f>
        <v>1108500</v>
      </c>
      <c r="L16" s="19" t="n">
        <f aca="false">SUM(L4:L13)</f>
        <v>1557500</v>
      </c>
      <c r="M16" s="19" t="n">
        <f aca="false">SUM(M4:M13)</f>
        <v>1892500</v>
      </c>
      <c r="N16" s="19" t="n">
        <f aca="false">SUM(N4:N13)</f>
        <v>2042000</v>
      </c>
    </row>
    <row r="18" customFormat="false" ht="15" hidden="false" customHeight="false" outlineLevel="0" collapsed="false">
      <c r="A18" s="16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62" min="3" style="0" width="13"/>
  </cols>
  <sheetData>
    <row r="1" customFormat="false" ht="19.7" hidden="false" customHeight="false" outlineLevel="0" collapsed="false">
      <c r="A1" s="1" t="s">
        <v>122</v>
      </c>
    </row>
    <row r="3" customFormat="false" ht="15" hidden="false" customHeight="false" outlineLevel="0" collapsed="false">
      <c r="A3" s="8" t="s">
        <v>123</v>
      </c>
      <c r="B3" s="9" t="s">
        <v>124</v>
      </c>
      <c r="C3" s="9" t="s">
        <v>125</v>
      </c>
      <c r="D3" s="9" t="s">
        <v>126</v>
      </c>
      <c r="E3" s="9" t="s">
        <v>127</v>
      </c>
      <c r="F3" s="9" t="s">
        <v>128</v>
      </c>
      <c r="G3" s="9" t="s">
        <v>129</v>
      </c>
      <c r="H3" s="9" t="s">
        <v>130</v>
      </c>
      <c r="I3" s="9" t="s">
        <v>131</v>
      </c>
      <c r="J3" s="9" t="s">
        <v>132</v>
      </c>
      <c r="K3" s="9" t="s">
        <v>133</v>
      </c>
      <c r="L3" s="9" t="s">
        <v>134</v>
      </c>
      <c r="M3" s="9" t="s">
        <v>135</v>
      </c>
      <c r="N3" s="9" t="s">
        <v>136</v>
      </c>
      <c r="O3" s="9" t="s">
        <v>137</v>
      </c>
      <c r="P3" s="9" t="s">
        <v>138</v>
      </c>
      <c r="Q3" s="9" t="s">
        <v>139</v>
      </c>
      <c r="R3" s="9" t="s">
        <v>140</v>
      </c>
      <c r="S3" s="9" t="s">
        <v>141</v>
      </c>
      <c r="T3" s="9" t="s">
        <v>142</v>
      </c>
      <c r="U3" s="9" t="s">
        <v>143</v>
      </c>
      <c r="V3" s="9" t="s">
        <v>144</v>
      </c>
      <c r="W3" s="9" t="s">
        <v>145</v>
      </c>
      <c r="X3" s="9" t="s">
        <v>146</v>
      </c>
      <c r="Y3" s="9" t="s">
        <v>147</v>
      </c>
      <c r="Z3" s="9" t="s">
        <v>148</v>
      </c>
      <c r="AA3" s="9" t="s">
        <v>149</v>
      </c>
      <c r="AB3" s="9" t="s">
        <v>150</v>
      </c>
      <c r="AC3" s="9" t="s">
        <v>151</v>
      </c>
      <c r="AD3" s="9" t="s">
        <v>152</v>
      </c>
      <c r="AE3" s="9" t="s">
        <v>153</v>
      </c>
      <c r="AF3" s="9" t="s">
        <v>154</v>
      </c>
      <c r="AG3" s="9" t="s">
        <v>155</v>
      </c>
      <c r="AH3" s="9" t="s">
        <v>156</v>
      </c>
      <c r="AI3" s="9" t="s">
        <v>157</v>
      </c>
      <c r="AJ3" s="9" t="s">
        <v>158</v>
      </c>
      <c r="AK3" s="9" t="s">
        <v>159</v>
      </c>
      <c r="AL3" s="9" t="s">
        <v>160</v>
      </c>
      <c r="AM3" s="9" t="s">
        <v>161</v>
      </c>
      <c r="AN3" s="9" t="s">
        <v>162</v>
      </c>
      <c r="AO3" s="9" t="s">
        <v>163</v>
      </c>
      <c r="AP3" s="9" t="s">
        <v>164</v>
      </c>
      <c r="AQ3" s="9" t="s">
        <v>165</v>
      </c>
      <c r="AR3" s="9" t="s">
        <v>166</v>
      </c>
      <c r="AS3" s="9" t="s">
        <v>167</v>
      </c>
      <c r="AT3" s="9" t="s">
        <v>168</v>
      </c>
      <c r="AU3" s="9" t="s">
        <v>169</v>
      </c>
      <c r="AV3" s="9" t="s">
        <v>170</v>
      </c>
      <c r="AW3" s="9" t="s">
        <v>171</v>
      </c>
      <c r="AX3" s="9" t="s">
        <v>172</v>
      </c>
      <c r="AY3" s="9" t="s">
        <v>173</v>
      </c>
      <c r="AZ3" s="9" t="s">
        <v>174</v>
      </c>
      <c r="BA3" s="9" t="s">
        <v>175</v>
      </c>
      <c r="BB3" s="9" t="s">
        <v>176</v>
      </c>
      <c r="BC3" s="9" t="s">
        <v>177</v>
      </c>
      <c r="BD3" s="9" t="s">
        <v>178</v>
      </c>
      <c r="BE3" s="9" t="s">
        <v>179</v>
      </c>
      <c r="BF3" s="9" t="s">
        <v>180</v>
      </c>
      <c r="BG3" s="9" t="s">
        <v>181</v>
      </c>
      <c r="BH3" s="9" t="s">
        <v>182</v>
      </c>
      <c r="BI3" s="9" t="s">
        <v>183</v>
      </c>
      <c r="BJ3" s="9" t="s">
        <v>184</v>
      </c>
    </row>
    <row r="4" customFormat="false" ht="15" hidden="false" customHeight="false" outlineLevel="0" collapsed="false">
      <c r="A4" s="6" t="s">
        <v>185</v>
      </c>
      <c r="B4" s="16" t="s">
        <v>23</v>
      </c>
      <c r="C4" s="25" t="n">
        <v>1</v>
      </c>
      <c r="D4" s="25" t="n">
        <v>2</v>
      </c>
      <c r="E4" s="25" t="n">
        <v>3</v>
      </c>
      <c r="F4" s="25" t="n">
        <v>4</v>
      </c>
      <c r="G4" s="25" t="n">
        <v>5</v>
      </c>
      <c r="H4" s="25" t="n">
        <v>6</v>
      </c>
      <c r="I4" s="25" t="n">
        <v>7</v>
      </c>
      <c r="J4" s="25" t="n">
        <v>8</v>
      </c>
      <c r="K4" s="25" t="n">
        <v>9</v>
      </c>
      <c r="L4" s="25" t="n">
        <v>10</v>
      </c>
      <c r="M4" s="25" t="n">
        <v>11</v>
      </c>
      <c r="N4" s="25" t="n">
        <v>12</v>
      </c>
      <c r="O4" s="25" t="n">
        <v>13</v>
      </c>
      <c r="P4" s="25" t="n">
        <v>14</v>
      </c>
      <c r="Q4" s="25" t="n">
        <v>15</v>
      </c>
      <c r="R4" s="25" t="n">
        <v>16</v>
      </c>
      <c r="S4" s="25" t="n">
        <v>17</v>
      </c>
      <c r="T4" s="25" t="n">
        <v>18</v>
      </c>
      <c r="U4" s="25" t="n">
        <v>19</v>
      </c>
      <c r="V4" s="25" t="n">
        <v>20</v>
      </c>
      <c r="W4" s="25" t="n">
        <v>21</v>
      </c>
      <c r="X4" s="25" t="n">
        <v>22</v>
      </c>
      <c r="Y4" s="25" t="n">
        <v>23</v>
      </c>
      <c r="Z4" s="25" t="n">
        <v>24</v>
      </c>
      <c r="AA4" s="25" t="n">
        <v>25</v>
      </c>
      <c r="AB4" s="25" t="n">
        <v>26</v>
      </c>
      <c r="AC4" s="25" t="n">
        <v>27</v>
      </c>
      <c r="AD4" s="25" t="n">
        <v>28</v>
      </c>
      <c r="AE4" s="25" t="n">
        <v>29</v>
      </c>
      <c r="AF4" s="25" t="n">
        <v>30</v>
      </c>
      <c r="AG4" s="25" t="n">
        <v>31</v>
      </c>
      <c r="AH4" s="25" t="n">
        <v>32</v>
      </c>
      <c r="AI4" s="25" t="n">
        <v>33</v>
      </c>
      <c r="AJ4" s="25" t="n">
        <v>34</v>
      </c>
      <c r="AK4" s="25" t="n">
        <v>35</v>
      </c>
      <c r="AL4" s="25" t="n">
        <v>36</v>
      </c>
      <c r="AM4" s="25" t="n">
        <v>37</v>
      </c>
      <c r="AN4" s="25" t="n">
        <v>38</v>
      </c>
      <c r="AO4" s="25" t="n">
        <v>39</v>
      </c>
      <c r="AP4" s="25" t="n">
        <v>40</v>
      </c>
      <c r="AQ4" s="25" t="n">
        <v>41</v>
      </c>
      <c r="AR4" s="25" t="n">
        <v>42</v>
      </c>
      <c r="AS4" s="25" t="n">
        <v>43</v>
      </c>
      <c r="AT4" s="25" t="n">
        <v>44</v>
      </c>
      <c r="AU4" s="25" t="n">
        <v>45</v>
      </c>
      <c r="AV4" s="25" t="n">
        <v>46</v>
      </c>
      <c r="AW4" s="25" t="n">
        <v>47</v>
      </c>
      <c r="AX4" s="25" t="n">
        <v>48</v>
      </c>
      <c r="AY4" s="25" t="n">
        <v>49</v>
      </c>
      <c r="AZ4" s="25" t="n">
        <v>50</v>
      </c>
      <c r="BA4" s="25" t="n">
        <v>51</v>
      </c>
      <c r="BB4" s="25" t="n">
        <v>52</v>
      </c>
      <c r="BC4" s="25" t="n">
        <v>53</v>
      </c>
      <c r="BD4" s="25" t="n">
        <v>54</v>
      </c>
      <c r="BE4" s="25" t="n">
        <v>55</v>
      </c>
      <c r="BF4" s="25" t="n">
        <v>56</v>
      </c>
      <c r="BG4" s="25" t="n">
        <v>57</v>
      </c>
      <c r="BH4" s="25" t="n">
        <v>58</v>
      </c>
      <c r="BI4" s="25" t="n">
        <v>59</v>
      </c>
      <c r="BJ4" s="25" t="n">
        <v>60</v>
      </c>
    </row>
    <row r="5" customFormat="false" ht="15" hidden="false" customHeight="false" outlineLevel="0" collapsed="false">
      <c r="A5" s="6" t="s">
        <v>186</v>
      </c>
      <c r="B5" s="16" t="s">
        <v>23</v>
      </c>
      <c r="C5" s="25" t="n">
        <f aca="false">INT((C4-1)/12)+1</f>
        <v>1</v>
      </c>
      <c r="D5" s="25" t="n">
        <f aca="false">INT((D4-1)/12)+1</f>
        <v>1</v>
      </c>
      <c r="E5" s="25" t="n">
        <f aca="false">INT((E4-1)/12)+1</f>
        <v>1</v>
      </c>
      <c r="F5" s="25" t="n">
        <f aca="false">INT((F4-1)/12)+1</f>
        <v>1</v>
      </c>
      <c r="G5" s="25" t="n">
        <f aca="false">INT((G4-1)/12)+1</f>
        <v>1</v>
      </c>
      <c r="H5" s="25" t="n">
        <f aca="false">INT((H4-1)/12)+1</f>
        <v>1</v>
      </c>
      <c r="I5" s="25" t="n">
        <f aca="false">INT((I4-1)/12)+1</f>
        <v>1</v>
      </c>
      <c r="J5" s="25" t="n">
        <f aca="false">INT((J4-1)/12)+1</f>
        <v>1</v>
      </c>
      <c r="K5" s="25" t="n">
        <f aca="false">INT((K4-1)/12)+1</f>
        <v>1</v>
      </c>
      <c r="L5" s="25" t="n">
        <f aca="false">INT((L4-1)/12)+1</f>
        <v>1</v>
      </c>
      <c r="M5" s="25" t="n">
        <f aca="false">INT((M4-1)/12)+1</f>
        <v>1</v>
      </c>
      <c r="N5" s="25" t="n">
        <f aca="false">INT((N4-1)/12)+1</f>
        <v>1</v>
      </c>
      <c r="O5" s="25" t="n">
        <f aca="false">INT((O4-1)/12)+1</f>
        <v>2</v>
      </c>
      <c r="P5" s="25" t="n">
        <f aca="false">INT((P4-1)/12)+1</f>
        <v>2</v>
      </c>
      <c r="Q5" s="25" t="n">
        <f aca="false">INT((Q4-1)/12)+1</f>
        <v>2</v>
      </c>
      <c r="R5" s="25" t="n">
        <f aca="false">INT((R4-1)/12)+1</f>
        <v>2</v>
      </c>
      <c r="S5" s="25" t="n">
        <f aca="false">INT((S4-1)/12)+1</f>
        <v>2</v>
      </c>
      <c r="T5" s="25" t="n">
        <f aca="false">INT((T4-1)/12)+1</f>
        <v>2</v>
      </c>
      <c r="U5" s="25" t="n">
        <f aca="false">INT((U4-1)/12)+1</f>
        <v>2</v>
      </c>
      <c r="V5" s="25" t="n">
        <f aca="false">INT((V4-1)/12)+1</f>
        <v>2</v>
      </c>
      <c r="W5" s="25" t="n">
        <f aca="false">INT((W4-1)/12)+1</f>
        <v>2</v>
      </c>
      <c r="X5" s="25" t="n">
        <f aca="false">INT((X4-1)/12)+1</f>
        <v>2</v>
      </c>
      <c r="Y5" s="25" t="n">
        <f aca="false">INT((Y4-1)/12)+1</f>
        <v>2</v>
      </c>
      <c r="Z5" s="25" t="n">
        <f aca="false">INT((Z4-1)/12)+1</f>
        <v>2</v>
      </c>
      <c r="AA5" s="25" t="n">
        <f aca="false">INT((AA4-1)/12)+1</f>
        <v>3</v>
      </c>
      <c r="AB5" s="25" t="n">
        <f aca="false">INT((AB4-1)/12)+1</f>
        <v>3</v>
      </c>
      <c r="AC5" s="25" t="n">
        <f aca="false">INT((AC4-1)/12)+1</f>
        <v>3</v>
      </c>
      <c r="AD5" s="25" t="n">
        <f aca="false">INT((AD4-1)/12)+1</f>
        <v>3</v>
      </c>
      <c r="AE5" s="25" t="n">
        <f aca="false">INT((AE4-1)/12)+1</f>
        <v>3</v>
      </c>
      <c r="AF5" s="25" t="n">
        <f aca="false">INT((AF4-1)/12)+1</f>
        <v>3</v>
      </c>
      <c r="AG5" s="25" t="n">
        <f aca="false">INT((AG4-1)/12)+1</f>
        <v>3</v>
      </c>
      <c r="AH5" s="25" t="n">
        <f aca="false">INT((AH4-1)/12)+1</f>
        <v>3</v>
      </c>
      <c r="AI5" s="25" t="n">
        <f aca="false">INT((AI4-1)/12)+1</f>
        <v>3</v>
      </c>
      <c r="AJ5" s="25" t="n">
        <f aca="false">INT((AJ4-1)/12)+1</f>
        <v>3</v>
      </c>
      <c r="AK5" s="25" t="n">
        <f aca="false">INT((AK4-1)/12)+1</f>
        <v>3</v>
      </c>
      <c r="AL5" s="25" t="n">
        <f aca="false">INT((AL4-1)/12)+1</f>
        <v>3</v>
      </c>
      <c r="AM5" s="25" t="n">
        <f aca="false">INT((AM4-1)/12)+1</f>
        <v>4</v>
      </c>
      <c r="AN5" s="25" t="n">
        <f aca="false">INT((AN4-1)/12)+1</f>
        <v>4</v>
      </c>
      <c r="AO5" s="25" t="n">
        <f aca="false">INT((AO4-1)/12)+1</f>
        <v>4</v>
      </c>
      <c r="AP5" s="25" t="n">
        <f aca="false">INT((AP4-1)/12)+1</f>
        <v>4</v>
      </c>
      <c r="AQ5" s="25" t="n">
        <f aca="false">INT((AQ4-1)/12)+1</f>
        <v>4</v>
      </c>
      <c r="AR5" s="25" t="n">
        <f aca="false">INT((AR4-1)/12)+1</f>
        <v>4</v>
      </c>
      <c r="AS5" s="25" t="n">
        <f aca="false">INT((AS4-1)/12)+1</f>
        <v>4</v>
      </c>
      <c r="AT5" s="25" t="n">
        <f aca="false">INT((AT4-1)/12)+1</f>
        <v>4</v>
      </c>
      <c r="AU5" s="25" t="n">
        <f aca="false">INT((AU4-1)/12)+1</f>
        <v>4</v>
      </c>
      <c r="AV5" s="25" t="n">
        <f aca="false">INT((AV4-1)/12)+1</f>
        <v>4</v>
      </c>
      <c r="AW5" s="25" t="n">
        <f aca="false">INT((AW4-1)/12)+1</f>
        <v>4</v>
      </c>
      <c r="AX5" s="25" t="n">
        <f aca="false">INT((AX4-1)/12)+1</f>
        <v>4</v>
      </c>
      <c r="AY5" s="25" t="n">
        <f aca="false">INT((AY4-1)/12)+1</f>
        <v>5</v>
      </c>
      <c r="AZ5" s="25" t="n">
        <f aca="false">INT((AZ4-1)/12)+1</f>
        <v>5</v>
      </c>
      <c r="BA5" s="25" t="n">
        <f aca="false">INT((BA4-1)/12)+1</f>
        <v>5</v>
      </c>
      <c r="BB5" s="25" t="n">
        <f aca="false">INT((BB4-1)/12)+1</f>
        <v>5</v>
      </c>
      <c r="BC5" s="25" t="n">
        <f aca="false">INT((BC4-1)/12)+1</f>
        <v>5</v>
      </c>
      <c r="BD5" s="25" t="n">
        <f aca="false">INT((BD4-1)/12)+1</f>
        <v>5</v>
      </c>
      <c r="BE5" s="25" t="n">
        <f aca="false">INT((BE4-1)/12)+1</f>
        <v>5</v>
      </c>
      <c r="BF5" s="25" t="n">
        <f aca="false">INT((BF4-1)/12)+1</f>
        <v>5</v>
      </c>
      <c r="BG5" s="25" t="n">
        <f aca="false">INT((BG4-1)/12)+1</f>
        <v>5</v>
      </c>
      <c r="BH5" s="25" t="n">
        <f aca="false">INT((BH4-1)/12)+1</f>
        <v>5</v>
      </c>
      <c r="BI5" s="25" t="n">
        <f aca="false">INT((BI4-1)/12)+1</f>
        <v>5</v>
      </c>
      <c r="BJ5" s="25" t="n">
        <f aca="false">INT((BJ4-1)/12)+1</f>
        <v>5</v>
      </c>
    </row>
    <row r="6" customFormat="false" ht="15" hidden="false" customHeight="false" outlineLevel="0" collapsed="false">
      <c r="A6" s="6" t="s">
        <v>47</v>
      </c>
      <c r="B6" s="16" t="s">
        <v>23</v>
      </c>
      <c r="C6" s="25" t="n">
        <f aca="false">MOD(C4-1,12)+1</f>
        <v>1</v>
      </c>
      <c r="D6" s="25" t="n">
        <f aca="false">MOD(D4-1,12)+1</f>
        <v>2</v>
      </c>
      <c r="E6" s="25" t="n">
        <f aca="false">MOD(E4-1,12)+1</f>
        <v>3</v>
      </c>
      <c r="F6" s="25" t="n">
        <f aca="false">MOD(F4-1,12)+1</f>
        <v>4</v>
      </c>
      <c r="G6" s="25" t="n">
        <f aca="false">MOD(G4-1,12)+1</f>
        <v>5</v>
      </c>
      <c r="H6" s="25" t="n">
        <f aca="false">MOD(H4-1,12)+1</f>
        <v>6</v>
      </c>
      <c r="I6" s="25" t="n">
        <f aca="false">MOD(I4-1,12)+1</f>
        <v>7</v>
      </c>
      <c r="J6" s="25" t="n">
        <f aca="false">MOD(J4-1,12)+1</f>
        <v>8</v>
      </c>
      <c r="K6" s="25" t="n">
        <f aca="false">MOD(K4-1,12)+1</f>
        <v>9</v>
      </c>
      <c r="L6" s="25" t="n">
        <f aca="false">MOD(L4-1,12)+1</f>
        <v>10</v>
      </c>
      <c r="M6" s="25" t="n">
        <f aca="false">MOD(M4-1,12)+1</f>
        <v>11</v>
      </c>
      <c r="N6" s="25" t="n">
        <f aca="false">MOD(N4-1,12)+1</f>
        <v>12</v>
      </c>
      <c r="O6" s="25" t="n">
        <f aca="false">MOD(O4-1,12)+1</f>
        <v>1</v>
      </c>
      <c r="P6" s="25" t="n">
        <f aca="false">MOD(P4-1,12)+1</f>
        <v>2</v>
      </c>
      <c r="Q6" s="25" t="n">
        <f aca="false">MOD(Q4-1,12)+1</f>
        <v>3</v>
      </c>
      <c r="R6" s="25" t="n">
        <f aca="false">MOD(R4-1,12)+1</f>
        <v>4</v>
      </c>
      <c r="S6" s="25" t="n">
        <f aca="false">MOD(S4-1,12)+1</f>
        <v>5</v>
      </c>
      <c r="T6" s="25" t="n">
        <f aca="false">MOD(T4-1,12)+1</f>
        <v>6</v>
      </c>
      <c r="U6" s="25" t="n">
        <f aca="false">MOD(U4-1,12)+1</f>
        <v>7</v>
      </c>
      <c r="V6" s="25" t="n">
        <f aca="false">MOD(V4-1,12)+1</f>
        <v>8</v>
      </c>
      <c r="W6" s="25" t="n">
        <f aca="false">MOD(W4-1,12)+1</f>
        <v>9</v>
      </c>
      <c r="X6" s="25" t="n">
        <f aca="false">MOD(X4-1,12)+1</f>
        <v>10</v>
      </c>
      <c r="Y6" s="25" t="n">
        <f aca="false">MOD(Y4-1,12)+1</f>
        <v>11</v>
      </c>
      <c r="Z6" s="25" t="n">
        <f aca="false">MOD(Z4-1,12)+1</f>
        <v>12</v>
      </c>
      <c r="AA6" s="25" t="n">
        <f aca="false">MOD(AA4-1,12)+1</f>
        <v>1</v>
      </c>
      <c r="AB6" s="25" t="n">
        <f aca="false">MOD(AB4-1,12)+1</f>
        <v>2</v>
      </c>
      <c r="AC6" s="25" t="n">
        <f aca="false">MOD(AC4-1,12)+1</f>
        <v>3</v>
      </c>
      <c r="AD6" s="25" t="n">
        <f aca="false">MOD(AD4-1,12)+1</f>
        <v>4</v>
      </c>
      <c r="AE6" s="25" t="n">
        <f aca="false">MOD(AE4-1,12)+1</f>
        <v>5</v>
      </c>
      <c r="AF6" s="25" t="n">
        <f aca="false">MOD(AF4-1,12)+1</f>
        <v>6</v>
      </c>
      <c r="AG6" s="25" t="n">
        <f aca="false">MOD(AG4-1,12)+1</f>
        <v>7</v>
      </c>
      <c r="AH6" s="25" t="n">
        <f aca="false">MOD(AH4-1,12)+1</f>
        <v>8</v>
      </c>
      <c r="AI6" s="25" t="n">
        <f aca="false">MOD(AI4-1,12)+1</f>
        <v>9</v>
      </c>
      <c r="AJ6" s="25" t="n">
        <f aca="false">MOD(AJ4-1,12)+1</f>
        <v>10</v>
      </c>
      <c r="AK6" s="25" t="n">
        <f aca="false">MOD(AK4-1,12)+1</f>
        <v>11</v>
      </c>
      <c r="AL6" s="25" t="n">
        <f aca="false">MOD(AL4-1,12)+1</f>
        <v>12</v>
      </c>
      <c r="AM6" s="25" t="n">
        <f aca="false">MOD(AM4-1,12)+1</f>
        <v>1</v>
      </c>
      <c r="AN6" s="25" t="n">
        <f aca="false">MOD(AN4-1,12)+1</f>
        <v>2</v>
      </c>
      <c r="AO6" s="25" t="n">
        <f aca="false">MOD(AO4-1,12)+1</f>
        <v>3</v>
      </c>
      <c r="AP6" s="25" t="n">
        <f aca="false">MOD(AP4-1,12)+1</f>
        <v>4</v>
      </c>
      <c r="AQ6" s="25" t="n">
        <f aca="false">MOD(AQ4-1,12)+1</f>
        <v>5</v>
      </c>
      <c r="AR6" s="25" t="n">
        <f aca="false">MOD(AR4-1,12)+1</f>
        <v>6</v>
      </c>
      <c r="AS6" s="25" t="n">
        <f aca="false">MOD(AS4-1,12)+1</f>
        <v>7</v>
      </c>
      <c r="AT6" s="25" t="n">
        <f aca="false">MOD(AT4-1,12)+1</f>
        <v>8</v>
      </c>
      <c r="AU6" s="25" t="n">
        <f aca="false">MOD(AU4-1,12)+1</f>
        <v>9</v>
      </c>
      <c r="AV6" s="25" t="n">
        <f aca="false">MOD(AV4-1,12)+1</f>
        <v>10</v>
      </c>
      <c r="AW6" s="25" t="n">
        <f aca="false">MOD(AW4-1,12)+1</f>
        <v>11</v>
      </c>
      <c r="AX6" s="25" t="n">
        <f aca="false">MOD(AX4-1,12)+1</f>
        <v>12</v>
      </c>
      <c r="AY6" s="25" t="n">
        <f aca="false">MOD(AY4-1,12)+1</f>
        <v>1</v>
      </c>
      <c r="AZ6" s="25" t="n">
        <f aca="false">MOD(AZ4-1,12)+1</f>
        <v>2</v>
      </c>
      <c r="BA6" s="25" t="n">
        <f aca="false">MOD(BA4-1,12)+1</f>
        <v>3</v>
      </c>
      <c r="BB6" s="25" t="n">
        <f aca="false">MOD(BB4-1,12)+1</f>
        <v>4</v>
      </c>
      <c r="BC6" s="25" t="n">
        <f aca="false">MOD(BC4-1,12)+1</f>
        <v>5</v>
      </c>
      <c r="BD6" s="25" t="n">
        <f aca="false">MOD(BD4-1,12)+1</f>
        <v>6</v>
      </c>
      <c r="BE6" s="25" t="n">
        <f aca="false">MOD(BE4-1,12)+1</f>
        <v>7</v>
      </c>
      <c r="BF6" s="25" t="n">
        <f aca="false">MOD(BF4-1,12)+1</f>
        <v>8</v>
      </c>
      <c r="BG6" s="25" t="n">
        <f aca="false">MOD(BG4-1,12)+1</f>
        <v>9</v>
      </c>
      <c r="BH6" s="25" t="n">
        <f aca="false">MOD(BH4-1,12)+1</f>
        <v>10</v>
      </c>
      <c r="BI6" s="25" t="n">
        <f aca="false">MOD(BI4-1,12)+1</f>
        <v>11</v>
      </c>
      <c r="BJ6" s="25" t="n">
        <f aca="false">MOD(BJ4-1,12)+1</f>
        <v>12</v>
      </c>
    </row>
    <row r="7" customFormat="false" ht="15" hidden="false" customHeight="false" outlineLevel="0" collapsed="false">
      <c r="A7" s="6" t="s">
        <v>187</v>
      </c>
      <c r="B7" s="16" t="s">
        <v>188</v>
      </c>
      <c r="C7" s="26" t="n">
        <f aca="false">INDEX(Assumptions!$B$22:$M$22,C6)</f>
        <v>0.95</v>
      </c>
      <c r="D7" s="26" t="n">
        <f aca="false">INDEX(Assumptions!$B$22:$M$22,D6)</f>
        <v>0.95</v>
      </c>
      <c r="E7" s="26" t="n">
        <f aca="false">INDEX(Assumptions!$B$22:$M$22,E6)</f>
        <v>1</v>
      </c>
      <c r="F7" s="26" t="n">
        <f aca="false">INDEX(Assumptions!$B$22:$M$22,F6)</f>
        <v>1.1</v>
      </c>
      <c r="G7" s="26" t="n">
        <f aca="false">INDEX(Assumptions!$B$22:$M$22,G6)</f>
        <v>1</v>
      </c>
      <c r="H7" s="26" t="n">
        <f aca="false">INDEX(Assumptions!$B$22:$M$22,H6)</f>
        <v>1.05</v>
      </c>
      <c r="I7" s="26" t="n">
        <f aca="false">INDEX(Assumptions!$B$22:$M$22,I6)</f>
        <v>0.95</v>
      </c>
      <c r="J7" s="26" t="n">
        <f aca="false">INDEX(Assumptions!$B$22:$M$22,J6)</f>
        <v>0.95</v>
      </c>
      <c r="K7" s="26" t="n">
        <f aca="false">INDEX(Assumptions!$B$22:$M$22,K6)</f>
        <v>0.95</v>
      </c>
      <c r="L7" s="26" t="n">
        <f aca="false">INDEX(Assumptions!$B$22:$M$22,L6)</f>
        <v>1</v>
      </c>
      <c r="M7" s="26" t="n">
        <f aca="false">INDEX(Assumptions!$B$22:$M$22,M6)</f>
        <v>1</v>
      </c>
      <c r="N7" s="26" t="n">
        <f aca="false">INDEX(Assumptions!$B$22:$M$22,N6)</f>
        <v>1.15</v>
      </c>
      <c r="O7" s="26" t="n">
        <f aca="false">INDEX(Assumptions!$B$22:$M$22,O6)</f>
        <v>0.95</v>
      </c>
      <c r="P7" s="26" t="n">
        <f aca="false">INDEX(Assumptions!$B$22:$M$22,P6)</f>
        <v>0.95</v>
      </c>
      <c r="Q7" s="26" t="n">
        <f aca="false">INDEX(Assumptions!$B$22:$M$22,Q6)</f>
        <v>1</v>
      </c>
      <c r="R7" s="26" t="n">
        <f aca="false">INDEX(Assumptions!$B$22:$M$22,R6)</f>
        <v>1.1</v>
      </c>
      <c r="S7" s="26" t="n">
        <f aca="false">INDEX(Assumptions!$B$22:$M$22,S6)</f>
        <v>1</v>
      </c>
      <c r="T7" s="26" t="n">
        <f aca="false">INDEX(Assumptions!$B$22:$M$22,T6)</f>
        <v>1.05</v>
      </c>
      <c r="U7" s="26" t="n">
        <f aca="false">INDEX(Assumptions!$B$22:$M$22,U6)</f>
        <v>0.95</v>
      </c>
      <c r="V7" s="26" t="n">
        <f aca="false">INDEX(Assumptions!$B$22:$M$22,V6)</f>
        <v>0.95</v>
      </c>
      <c r="W7" s="26" t="n">
        <f aca="false">INDEX(Assumptions!$B$22:$M$22,W6)</f>
        <v>0.95</v>
      </c>
      <c r="X7" s="26" t="n">
        <f aca="false">INDEX(Assumptions!$B$22:$M$22,X6)</f>
        <v>1</v>
      </c>
      <c r="Y7" s="26" t="n">
        <f aca="false">INDEX(Assumptions!$B$22:$M$22,Y6)</f>
        <v>1</v>
      </c>
      <c r="Z7" s="26" t="n">
        <f aca="false">INDEX(Assumptions!$B$22:$M$22,Z6)</f>
        <v>1.15</v>
      </c>
      <c r="AA7" s="26" t="n">
        <f aca="false">INDEX(Assumptions!$B$22:$M$22,AA6)</f>
        <v>0.95</v>
      </c>
      <c r="AB7" s="26" t="n">
        <f aca="false">INDEX(Assumptions!$B$22:$M$22,AB6)</f>
        <v>0.95</v>
      </c>
      <c r="AC7" s="26" t="n">
        <f aca="false">INDEX(Assumptions!$B$22:$M$22,AC6)</f>
        <v>1</v>
      </c>
      <c r="AD7" s="26" t="n">
        <f aca="false">INDEX(Assumptions!$B$22:$M$22,AD6)</f>
        <v>1.1</v>
      </c>
      <c r="AE7" s="26" t="n">
        <f aca="false">INDEX(Assumptions!$B$22:$M$22,AE6)</f>
        <v>1</v>
      </c>
      <c r="AF7" s="26" t="n">
        <f aca="false">INDEX(Assumptions!$B$22:$M$22,AF6)</f>
        <v>1.05</v>
      </c>
      <c r="AG7" s="26" t="n">
        <f aca="false">INDEX(Assumptions!$B$22:$M$22,AG6)</f>
        <v>0.95</v>
      </c>
      <c r="AH7" s="26" t="n">
        <f aca="false">INDEX(Assumptions!$B$22:$M$22,AH6)</f>
        <v>0.95</v>
      </c>
      <c r="AI7" s="26" t="n">
        <f aca="false">INDEX(Assumptions!$B$22:$M$22,AI6)</f>
        <v>0.95</v>
      </c>
      <c r="AJ7" s="26" t="n">
        <f aca="false">INDEX(Assumptions!$B$22:$M$22,AJ6)</f>
        <v>1</v>
      </c>
      <c r="AK7" s="26" t="n">
        <f aca="false">INDEX(Assumptions!$B$22:$M$22,AK6)</f>
        <v>1</v>
      </c>
      <c r="AL7" s="26" t="n">
        <f aca="false">INDEX(Assumptions!$B$22:$M$22,AL6)</f>
        <v>1.15</v>
      </c>
      <c r="AM7" s="26" t="n">
        <f aca="false">INDEX(Assumptions!$B$22:$M$22,AM6)</f>
        <v>0.95</v>
      </c>
      <c r="AN7" s="26" t="n">
        <f aca="false">INDEX(Assumptions!$B$22:$M$22,AN6)</f>
        <v>0.95</v>
      </c>
      <c r="AO7" s="26" t="n">
        <f aca="false">INDEX(Assumptions!$B$22:$M$22,AO6)</f>
        <v>1</v>
      </c>
      <c r="AP7" s="26" t="n">
        <f aca="false">INDEX(Assumptions!$B$22:$M$22,AP6)</f>
        <v>1.1</v>
      </c>
      <c r="AQ7" s="26" t="n">
        <f aca="false">INDEX(Assumptions!$B$22:$M$22,AQ6)</f>
        <v>1</v>
      </c>
      <c r="AR7" s="26" t="n">
        <f aca="false">INDEX(Assumptions!$B$22:$M$22,AR6)</f>
        <v>1.05</v>
      </c>
      <c r="AS7" s="26" t="n">
        <f aca="false">INDEX(Assumptions!$B$22:$M$22,AS6)</f>
        <v>0.95</v>
      </c>
      <c r="AT7" s="26" t="n">
        <f aca="false">INDEX(Assumptions!$B$22:$M$22,AT6)</f>
        <v>0.95</v>
      </c>
      <c r="AU7" s="26" t="n">
        <f aca="false">INDEX(Assumptions!$B$22:$M$22,AU6)</f>
        <v>0.95</v>
      </c>
      <c r="AV7" s="26" t="n">
        <f aca="false">INDEX(Assumptions!$B$22:$M$22,AV6)</f>
        <v>1</v>
      </c>
      <c r="AW7" s="26" t="n">
        <f aca="false">INDEX(Assumptions!$B$22:$M$22,AW6)</f>
        <v>1</v>
      </c>
      <c r="AX7" s="26" t="n">
        <f aca="false">INDEX(Assumptions!$B$22:$M$22,AX6)</f>
        <v>1.15</v>
      </c>
      <c r="AY7" s="26" t="n">
        <f aca="false">INDEX(Assumptions!$B$22:$M$22,AY6)</f>
        <v>0.95</v>
      </c>
      <c r="AZ7" s="26" t="n">
        <f aca="false">INDEX(Assumptions!$B$22:$M$22,AZ6)</f>
        <v>0.95</v>
      </c>
      <c r="BA7" s="26" t="n">
        <f aca="false">INDEX(Assumptions!$B$22:$M$22,BA6)</f>
        <v>1</v>
      </c>
      <c r="BB7" s="26" t="n">
        <f aca="false">INDEX(Assumptions!$B$22:$M$22,BB6)</f>
        <v>1.1</v>
      </c>
      <c r="BC7" s="26" t="n">
        <f aca="false">INDEX(Assumptions!$B$22:$M$22,BC6)</f>
        <v>1</v>
      </c>
      <c r="BD7" s="26" t="n">
        <f aca="false">INDEX(Assumptions!$B$22:$M$22,BD6)</f>
        <v>1.05</v>
      </c>
      <c r="BE7" s="26" t="n">
        <f aca="false">INDEX(Assumptions!$B$22:$M$22,BE6)</f>
        <v>0.95</v>
      </c>
      <c r="BF7" s="26" t="n">
        <f aca="false">INDEX(Assumptions!$B$22:$M$22,BF6)</f>
        <v>0.95</v>
      </c>
      <c r="BG7" s="26" t="n">
        <f aca="false">INDEX(Assumptions!$B$22:$M$22,BG6)</f>
        <v>0.95</v>
      </c>
      <c r="BH7" s="26" t="n">
        <f aca="false">INDEX(Assumptions!$B$22:$M$22,BH6)</f>
        <v>1</v>
      </c>
      <c r="BI7" s="26" t="n">
        <f aca="false">INDEX(Assumptions!$B$22:$M$22,BI6)</f>
        <v>1</v>
      </c>
      <c r="BJ7" s="26" t="n">
        <f aca="false">INDEX(Assumptions!$B$22:$M$22,BJ6)</f>
        <v>1.15</v>
      </c>
    </row>
    <row r="8" customFormat="false" ht="15" hidden="false" customHeight="false" outlineLevel="0" collapsed="false">
      <c r="A8" s="6" t="s">
        <v>189</v>
      </c>
      <c r="B8" s="16" t="s">
        <v>188</v>
      </c>
      <c r="C8" s="26" t="n">
        <f aca="false">Assumptions!$D$3</f>
        <v>1</v>
      </c>
      <c r="D8" s="26" t="n">
        <f aca="false">Assumptions!$D$3</f>
        <v>1</v>
      </c>
      <c r="E8" s="26" t="n">
        <f aca="false">Assumptions!$D$3</f>
        <v>1</v>
      </c>
      <c r="F8" s="26" t="n">
        <f aca="false">Assumptions!$D$3</f>
        <v>1</v>
      </c>
      <c r="G8" s="26" t="n">
        <f aca="false">Assumptions!$D$3</f>
        <v>1</v>
      </c>
      <c r="H8" s="26" t="n">
        <f aca="false">Assumptions!$D$3</f>
        <v>1</v>
      </c>
      <c r="I8" s="26" t="n">
        <f aca="false">Assumptions!$D$3</f>
        <v>1</v>
      </c>
      <c r="J8" s="26" t="n">
        <f aca="false">Assumptions!$D$3</f>
        <v>1</v>
      </c>
      <c r="K8" s="26" t="n">
        <f aca="false">Assumptions!$D$3</f>
        <v>1</v>
      </c>
      <c r="L8" s="26" t="n">
        <f aca="false">Assumptions!$D$3</f>
        <v>1</v>
      </c>
      <c r="M8" s="26" t="n">
        <f aca="false">Assumptions!$D$3</f>
        <v>1</v>
      </c>
      <c r="N8" s="26" t="n">
        <f aca="false">Assumptions!$D$3</f>
        <v>1</v>
      </c>
      <c r="O8" s="26" t="n">
        <f aca="false">Assumptions!$D$3</f>
        <v>1</v>
      </c>
      <c r="P8" s="26" t="n">
        <f aca="false">Assumptions!$D$3</f>
        <v>1</v>
      </c>
      <c r="Q8" s="26" t="n">
        <f aca="false">Assumptions!$D$3</f>
        <v>1</v>
      </c>
      <c r="R8" s="26" t="n">
        <f aca="false">Assumptions!$D$3</f>
        <v>1</v>
      </c>
      <c r="S8" s="26" t="n">
        <f aca="false">Assumptions!$D$3</f>
        <v>1</v>
      </c>
      <c r="T8" s="26" t="n">
        <f aca="false">Assumptions!$D$3</f>
        <v>1</v>
      </c>
      <c r="U8" s="26" t="n">
        <f aca="false">Assumptions!$D$3</f>
        <v>1</v>
      </c>
      <c r="V8" s="26" t="n">
        <f aca="false">Assumptions!$D$3</f>
        <v>1</v>
      </c>
      <c r="W8" s="26" t="n">
        <f aca="false">Assumptions!$D$3</f>
        <v>1</v>
      </c>
      <c r="X8" s="26" t="n">
        <f aca="false">Assumptions!$D$3</f>
        <v>1</v>
      </c>
      <c r="Y8" s="26" t="n">
        <f aca="false">Assumptions!$D$3</f>
        <v>1</v>
      </c>
      <c r="Z8" s="26" t="n">
        <f aca="false">Assumptions!$D$3</f>
        <v>1</v>
      </c>
      <c r="AA8" s="26" t="n">
        <f aca="false">Assumptions!$D$3</f>
        <v>1</v>
      </c>
      <c r="AB8" s="26" t="n">
        <f aca="false">Assumptions!$D$3</f>
        <v>1</v>
      </c>
      <c r="AC8" s="26" t="n">
        <f aca="false">Assumptions!$D$3</f>
        <v>1</v>
      </c>
      <c r="AD8" s="26" t="n">
        <f aca="false">Assumptions!$D$3</f>
        <v>1</v>
      </c>
      <c r="AE8" s="26" t="n">
        <f aca="false">Assumptions!$D$3</f>
        <v>1</v>
      </c>
      <c r="AF8" s="26" t="n">
        <f aca="false">Assumptions!$D$3</f>
        <v>1</v>
      </c>
      <c r="AG8" s="26" t="n">
        <f aca="false">Assumptions!$D$3</f>
        <v>1</v>
      </c>
      <c r="AH8" s="26" t="n">
        <f aca="false">Assumptions!$D$3</f>
        <v>1</v>
      </c>
      <c r="AI8" s="26" t="n">
        <f aca="false">Assumptions!$D$3</f>
        <v>1</v>
      </c>
      <c r="AJ8" s="26" t="n">
        <f aca="false">Assumptions!$D$3</f>
        <v>1</v>
      </c>
      <c r="AK8" s="26" t="n">
        <f aca="false">Assumptions!$D$3</f>
        <v>1</v>
      </c>
      <c r="AL8" s="26" t="n">
        <f aca="false">Assumptions!$D$3</f>
        <v>1</v>
      </c>
      <c r="AM8" s="26" t="n">
        <f aca="false">Assumptions!$D$3</f>
        <v>1</v>
      </c>
      <c r="AN8" s="26" t="n">
        <f aca="false">Assumptions!$D$3</f>
        <v>1</v>
      </c>
      <c r="AO8" s="26" t="n">
        <f aca="false">Assumptions!$D$3</f>
        <v>1</v>
      </c>
      <c r="AP8" s="26" t="n">
        <f aca="false">Assumptions!$D$3</f>
        <v>1</v>
      </c>
      <c r="AQ8" s="26" t="n">
        <f aca="false">Assumptions!$D$3</f>
        <v>1</v>
      </c>
      <c r="AR8" s="26" t="n">
        <f aca="false">Assumptions!$D$3</f>
        <v>1</v>
      </c>
      <c r="AS8" s="26" t="n">
        <f aca="false">Assumptions!$D$3</f>
        <v>1</v>
      </c>
      <c r="AT8" s="26" t="n">
        <f aca="false">Assumptions!$D$3</f>
        <v>1</v>
      </c>
      <c r="AU8" s="26" t="n">
        <f aca="false">Assumptions!$D$3</f>
        <v>1</v>
      </c>
      <c r="AV8" s="26" t="n">
        <f aca="false">Assumptions!$D$3</f>
        <v>1</v>
      </c>
      <c r="AW8" s="26" t="n">
        <f aca="false">Assumptions!$D$3</f>
        <v>1</v>
      </c>
      <c r="AX8" s="26" t="n">
        <f aca="false">Assumptions!$D$3</f>
        <v>1</v>
      </c>
      <c r="AY8" s="26" t="n">
        <f aca="false">Assumptions!$D$3</f>
        <v>1</v>
      </c>
      <c r="AZ8" s="26" t="n">
        <f aca="false">Assumptions!$D$3</f>
        <v>1</v>
      </c>
      <c r="BA8" s="26" t="n">
        <f aca="false">Assumptions!$D$3</f>
        <v>1</v>
      </c>
      <c r="BB8" s="26" t="n">
        <f aca="false">Assumptions!$D$3</f>
        <v>1</v>
      </c>
      <c r="BC8" s="26" t="n">
        <f aca="false">Assumptions!$D$3</f>
        <v>1</v>
      </c>
      <c r="BD8" s="26" t="n">
        <f aca="false">Assumptions!$D$3</f>
        <v>1</v>
      </c>
      <c r="BE8" s="26" t="n">
        <f aca="false">Assumptions!$D$3</f>
        <v>1</v>
      </c>
      <c r="BF8" s="26" t="n">
        <f aca="false">Assumptions!$D$3</f>
        <v>1</v>
      </c>
      <c r="BG8" s="26" t="n">
        <f aca="false">Assumptions!$D$3</f>
        <v>1</v>
      </c>
      <c r="BH8" s="26" t="n">
        <f aca="false">Assumptions!$D$3</f>
        <v>1</v>
      </c>
      <c r="BI8" s="26" t="n">
        <f aca="false">Assumptions!$D$3</f>
        <v>1</v>
      </c>
      <c r="BJ8" s="26" t="n">
        <f aca="false">Assumptions!$D$3</f>
        <v>1</v>
      </c>
    </row>
    <row r="10" customFormat="false" ht="15" hidden="false" customHeight="false" outlineLevel="0" collapsed="false">
      <c r="A10" s="27" t="s">
        <v>190</v>
      </c>
    </row>
    <row r="11" customFormat="false" ht="15" hidden="false" customHeight="false" outlineLevel="0" collapsed="false">
      <c r="A11" s="28" t="str">
        <f aca="false">Assumptions!A12</f>
        <v>UK → Gambia</v>
      </c>
      <c r="B11" s="16" t="s">
        <v>191</v>
      </c>
      <c r="C11" s="29" t="n">
        <f aca="false">IF(C$4&lt;Assumptions!$B$12,0,Assumptions!$C$12*(1-EXP(-(C$4-Assumptions!$B$12+1)/Assumptions!$D$12))*C$7*C$8)</f>
        <v>0</v>
      </c>
      <c r="D11" s="29" t="n">
        <f aca="false">IF(D$4&lt;Assumptions!$B$12,0,Assumptions!$C$12*(1-EXP(-(D$4-Assumptions!$B$12+1)/Assumptions!$D$12))*D$7*D$8)</f>
        <v>0</v>
      </c>
      <c r="E11" s="29" t="n">
        <f aca="false">IF(E$4&lt;Assumptions!$B$12,0,Assumptions!$C$12*(1-EXP(-(E$4-Assumptions!$B$12+1)/Assumptions!$D$12))*E$7*E$8)</f>
        <v>0</v>
      </c>
      <c r="F11" s="29" t="n">
        <f aca="false">IF(F$4&lt;Assumptions!$B$12,0,Assumptions!$C$12*(1-EXP(-(F$4-Assumptions!$B$12+1)/Assumptions!$D$12))*F$7*F$8)</f>
        <v>0</v>
      </c>
      <c r="G11" s="29" t="n">
        <f aca="false">IF(G$4&lt;Assumptions!$B$12,0,Assumptions!$C$12*(1-EXP(-(G$4-Assumptions!$B$12+1)/Assumptions!$D$12))*G$7*G$8)</f>
        <v>0</v>
      </c>
      <c r="H11" s="29" t="n">
        <f aca="false">IF(H$4&lt;Assumptions!$B$12,0,Assumptions!$C$12*(1-EXP(-(H$4-Assumptions!$B$12+1)/Assumptions!$D$12))*H$7*H$8)</f>
        <v>0</v>
      </c>
      <c r="I11" s="29" t="n">
        <f aca="false">IF(I$4&lt;Assumptions!$B$12,0,Assumptions!$C$12*(1-EXP(-(I$4-Assumptions!$B$12+1)/Assumptions!$D$12))*I$7*I$8)</f>
        <v>0</v>
      </c>
      <c r="J11" s="29" t="n">
        <f aca="false">IF(J$4&lt;Assumptions!$B$12,0,Assumptions!$C$12*(1-EXP(-(J$4-Assumptions!$B$12+1)/Assumptions!$D$12))*J$7*J$8)</f>
        <v>0</v>
      </c>
      <c r="K11" s="29" t="n">
        <f aca="false">IF(K$4&lt;Assumptions!$B$12,0,Assumptions!$C$12*(1-EXP(-(K$4-Assumptions!$B$12+1)/Assumptions!$D$12))*K$7*K$8)</f>
        <v>0</v>
      </c>
      <c r="L11" s="29" t="n">
        <f aca="false">IF(L$4&lt;Assumptions!$B$12,0,Assumptions!$C$12*(1-EXP(-(L$4-Assumptions!$B$12+1)/Assumptions!$D$12))*L$7*L$8)</f>
        <v>0</v>
      </c>
      <c r="M11" s="29" t="n">
        <f aca="false">IF(M$4&lt;Assumptions!$B$12,0,Assumptions!$C$12*(1-EXP(-(M$4-Assumptions!$B$12+1)/Assumptions!$D$12))*M$7*M$8)</f>
        <v>1599.11170741353</v>
      </c>
      <c r="N11" s="29" t="n">
        <f aca="false">IF(N$4&lt;Assumptions!$B$12,0,Assumptions!$C$12*(1-EXP(-(N$4-Assumptions!$B$12+1)/Assumptions!$D$12))*N$7*N$8)</f>
        <v>3530.92032751587</v>
      </c>
      <c r="O11" s="29" t="n">
        <f aca="false">IF(O$4&lt;Assumptions!$B$12,0,Assumptions!$C$12*(1-EXP(-(O$4-Assumptions!$B$12+1)/Assumptions!$D$12))*O$7*O$8)</f>
        <v>4202.78512164331</v>
      </c>
      <c r="P11" s="29" t="n">
        <f aca="false">IF(P$4&lt;Assumptions!$B$12,0,Assumptions!$C$12*(1-EXP(-(P$4-Assumptions!$B$12+1)/Assumptions!$D$12))*P$7*P$8)</f>
        <v>5385.905099098</v>
      </c>
      <c r="Q11" s="29" t="n">
        <f aca="false">IF(Q$4&lt;Assumptions!$B$12,0,Assumptions!$C$12*(1-EXP(-(Q$4-Assumptions!$B$12+1)/Assumptions!$D$12))*Q$7*Q$8)</f>
        <v>6815.18739599112</v>
      </c>
      <c r="R11" s="29" t="n">
        <f aca="false">IF(R$4&lt;Assumptions!$B$12,0,Assumptions!$C$12*(1-EXP(-(R$4-Assumptions!$B$12+1)/Assumptions!$D$12))*R$7*R$8)</f>
        <v>8656.32548632207</v>
      </c>
      <c r="S11" s="29" t="n">
        <f aca="false">IF(S$4&lt;Assumptions!$B$12,0,Assumptions!$C$12*(1-EXP(-(S$4-Assumptions!$B$12+1)/Assumptions!$D$12))*S$7*S$8)</f>
        <v>8839.29708459906</v>
      </c>
      <c r="T11" s="29" t="n">
        <f aca="false">IF(T$4&lt;Assumptions!$B$12,0,Assumptions!$C$12*(1-EXP(-(T$4-Assumptions!$B$12+1)/Assumptions!$D$12))*T$7*T$8)</f>
        <v>10218.2405003156</v>
      </c>
      <c r="U11" s="29" t="n">
        <f aca="false">IF(U$4&lt;Assumptions!$B$12,0,Assumptions!$C$12*(1-EXP(-(U$4-Assumptions!$B$12+1)/Assumptions!$D$12))*U$7*U$8)</f>
        <v>10025.0354979207</v>
      </c>
      <c r="V11" s="29" t="n">
        <f aca="false">IF(V$4&lt;Assumptions!$B$12,0,Assumptions!$C$12*(1-EXP(-(V$4-Assumptions!$B$12+1)/Assumptions!$D$12))*V$7*V$8)</f>
        <v>10742.6340383655</v>
      </c>
      <c r="W11" s="29" t="n">
        <f aca="false">IF(W$4&lt;Assumptions!$B$12,0,Assumptions!$C$12*(1-EXP(-(W$4-Assumptions!$B$12+1)/Assumptions!$D$12))*W$7*W$8)</f>
        <v>11402.8565674479</v>
      </c>
      <c r="X11" s="29" t="n">
        <f aca="false">IF(X$4&lt;Assumptions!$B$12,0,Assumptions!$C$12*(1-EXP(-(X$4-Assumptions!$B$12+1)/Assumptions!$D$12))*X$7*X$8)</f>
        <v>12642.4111765712</v>
      </c>
      <c r="Y11" s="29" t="n">
        <f aca="false">IF(Y$4&lt;Assumptions!$B$12,0,Assumptions!$C$12*(1-EXP(-(Y$4-Assumptions!$B$12+1)/Assumptions!$D$12))*Y$7*Y$8)</f>
        <v>13230.6914978652</v>
      </c>
      <c r="Z11" s="29" t="n">
        <f aca="false">IF(Z$4&lt;Assumptions!$B$12,0,Assumptions!$C$12*(1-EXP(-(Z$4-Assumptions!$B$12+1)/Assumptions!$D$12))*Z$7*Z$8)</f>
        <v>15837.7258499643</v>
      </c>
      <c r="AA11" s="29" t="n">
        <f aca="false">IF(AA$4&lt;Assumptions!$B$12,0,Assumptions!$C$12*(1-EXP(-(AA$4-Assumptions!$B$12+1)/Assumptions!$D$12))*AA$7*AA$8)</f>
        <v>13556.4088596564</v>
      </c>
      <c r="AB11" s="29" t="n">
        <f aca="false">IF(AB$4&lt;Assumptions!$B$12,0,Assumptions!$C$12*(1-EXP(-(AB$4-Assumptions!$B$12+1)/Assumptions!$D$12))*AB$7*AB$8)</f>
        <v>13991.6543758012</v>
      </c>
      <c r="AC11" s="29" t="n">
        <f aca="false">IF(AC$4&lt;Assumptions!$B$12,0,Assumptions!$C$12*(1-EXP(-(AC$4-Assumptions!$B$12+1)/Assumptions!$D$12))*AC$7*AC$8)</f>
        <v>15149.578507287</v>
      </c>
      <c r="AD11" s="29" t="n">
        <f aca="false">IF(AD$4&lt;Assumptions!$B$12,0,Assumptions!$C$12*(1-EXP(-(AD$4-Assumptions!$B$12+1)/Assumptions!$D$12))*AD$7*AD$8)</f>
        <v>17091.1364767345</v>
      </c>
      <c r="AE11" s="29" t="n">
        <f aca="false">IF(AE$4&lt;Assumptions!$B$12,0,Assumptions!$C$12*(1-EXP(-(AE$4-Assumptions!$B$12+1)/Assumptions!$D$12))*AE$7*AE$8)</f>
        <v>15894.2068484018</v>
      </c>
      <c r="AF11" s="29" t="n">
        <f aca="false">IF(AF$4&lt;Assumptions!$B$12,0,Assumptions!$C$12*(1-EXP(-(AF$4-Assumptions!$B$12+1)/Assumptions!$D$12))*AF$7*AF$8)</f>
        <v>17033.6123404112</v>
      </c>
      <c r="AG11" s="29" t="n">
        <f aca="false">IF(AG$4&lt;Assumptions!$B$12,0,Assumptions!$C$12*(1-EXP(-(AG$4-Assumptions!$B$12+1)/Assumptions!$D$12))*AG$7*AG$8)</f>
        <v>15698.2950744415</v>
      </c>
      <c r="AH11" s="29" t="n">
        <f aca="false">IF(AH$4&lt;Assumptions!$B$12,0,Assumptions!$C$12*(1-EXP(-(AH$4-Assumptions!$B$12+1)/Assumptions!$D$12))*AH$7*AH$8)</f>
        <v>15962.2848244858</v>
      </c>
      <c r="AI11" s="29" t="n">
        <f aca="false">IF(AI$4&lt;Assumptions!$B$12,0,Assumptions!$C$12*(1-EXP(-(AI$4-Assumptions!$B$12+1)/Assumptions!$D$12))*AI$7*AI$8)</f>
        <v>16205.1671195334</v>
      </c>
      <c r="AJ11" s="29" t="n">
        <f aca="false">IF(AJ$4&lt;Assumptions!$B$12,0,Assumptions!$C$12*(1-EXP(-(AJ$4-Assumptions!$B$12+1)/Assumptions!$D$12))*AJ$7*AJ$8)</f>
        <v>17293.2943352677</v>
      </c>
      <c r="AK11" s="29" t="n">
        <f aca="false">IF(AK$4&lt;Assumptions!$B$12,0,Assumptions!$C$12*(1-EXP(-(AK$4-Assumptions!$B$12+1)/Assumptions!$D$12))*AK$7*AK$8)</f>
        <v>17509.7105711175</v>
      </c>
      <c r="AL11" s="29" t="n">
        <f aca="false">IF(AL$4&lt;Assumptions!$B$12,0,Assumptions!$C$12*(1-EXP(-(AL$4-Assumptions!$B$12+1)/Assumptions!$D$12))*AL$7*AL$8)</f>
        <v>20365.1465881682</v>
      </c>
      <c r="AM11" s="29" t="n">
        <f aca="false">IF(AM$4&lt;Assumptions!$B$12,0,Assumptions!$C$12*(1-EXP(-(AM$4-Assumptions!$B$12+1)/Assumptions!$D$12))*AM$7*AM$8)</f>
        <v>16997.4147333246</v>
      </c>
      <c r="AN11" s="29" t="n">
        <f aca="false">IF(AN$4&lt;Assumptions!$B$12,0,Assumptions!$C$12*(1-EXP(-(AN$4-Assumptions!$B$12+1)/Assumptions!$D$12))*AN$7*AN$8)</f>
        <v>17157.5326105763</v>
      </c>
      <c r="AO11" s="29" t="n">
        <f aca="false">IF(AO$4&lt;Assumptions!$B$12,0,Assumptions!$C$12*(1-EXP(-(AO$4-Assumptions!$B$12+1)/Assumptions!$D$12))*AO$7*AO$8)</f>
        <v>18215.6296518148</v>
      </c>
      <c r="AP11" s="29" t="n">
        <f aca="false">IF(AP$4&lt;Assumptions!$B$12,0,Assumptions!$C$12*(1-EXP(-(AP$4-Assumptions!$B$12+1)/Assumptions!$D$12))*AP$7*AP$8)</f>
        <v>20194.1300302742</v>
      </c>
      <c r="AQ11" s="29" t="n">
        <f aca="false">IF(AQ$4&lt;Assumptions!$B$12,0,Assumptions!$C$12*(1-EXP(-(AQ$4-Assumptions!$B$12+1)/Assumptions!$D$12))*AQ$7*AQ$8)</f>
        <v>18489.5631098245</v>
      </c>
      <c r="AR11" s="29" t="n">
        <f aca="false">IF(AR$4&lt;Assumptions!$B$12,0,Assumptions!$C$12*(1-EXP(-(AR$4-Assumptions!$B$12+1)/Assumptions!$D$12))*AR$7*AR$8)</f>
        <v>19540.8475243212</v>
      </c>
      <c r="AS11" s="29" t="n">
        <f aca="false">IF(AS$4&lt;Assumptions!$B$12,0,Assumptions!$C$12*(1-EXP(-(AS$4-Assumptions!$B$12+1)/Assumptions!$D$12))*AS$7*AS$8)</f>
        <v>17785.3706370726</v>
      </c>
      <c r="AT11" s="29" t="n">
        <f aca="false">IF(AT$4&lt;Assumptions!$B$12,0,Assumptions!$C$12*(1-EXP(-(AT$4-Assumptions!$B$12+1)/Assumptions!$D$12))*AT$7*AT$8)</f>
        <v>17882.4870387938</v>
      </c>
      <c r="AU11" s="29" t="n">
        <f aca="false">IF(AU$4&lt;Assumptions!$B$12,0,Assumptions!$C$12*(1-EXP(-(AU$4-Assumptions!$B$12+1)/Assumptions!$D$12))*AU$7*AU$8)</f>
        <v>17971.8384417664</v>
      </c>
      <c r="AV11" s="29" t="n">
        <f aca="false">IF(AV$4&lt;Assumptions!$B$12,0,Assumptions!$C$12*(1-EXP(-(AV$4-Assumptions!$B$12+1)/Assumptions!$D$12))*AV$7*AV$8)</f>
        <v>19004.2586326427</v>
      </c>
      <c r="AW11" s="29" t="n">
        <f aca="false">IF(AW$4&lt;Assumptions!$B$12,0,Assumptions!$C$12*(1-EXP(-(AW$4-Assumptions!$B$12+1)/Assumptions!$D$12))*AW$7*AW$8)</f>
        <v>19083.8737165476</v>
      </c>
      <c r="AX11" s="29" t="n">
        <f aca="false">IF(AX$4&lt;Assumptions!$B$12,0,Assumptions!$C$12*(1-EXP(-(AX$4-Assumptions!$B$12+1)/Assumptions!$D$12))*AX$7*AX$8)</f>
        <v>22030.6915992866</v>
      </c>
      <c r="AY11" s="29" t="n">
        <f aca="false">IF(AY$4&lt;Assumptions!$B$12,0,Assumptions!$C$12*(1-EXP(-(AY$4-Assumptions!$B$12+1)/Assumptions!$D$12))*AY$7*AY$8)</f>
        <v>18263.2900511973</v>
      </c>
      <c r="AZ11" s="29" t="n">
        <f aca="false">IF(AZ$4&lt;Assumptions!$B$12,0,Assumptions!$C$12*(1-EXP(-(AZ$4-Assumptions!$B$12+1)/Assumptions!$D$12))*AZ$7*AZ$8)</f>
        <v>18322.1941264022</v>
      </c>
      <c r="BA11" s="29" t="n">
        <f aca="false">IF(BA$4&lt;Assumptions!$B$12,0,Assumptions!$C$12*(1-EXP(-(BA$4-Assumptions!$B$12+1)/Assumptions!$D$12))*BA$7*BA$8)</f>
        <v>19343.5668334667</v>
      </c>
      <c r="BB11" s="29" t="n">
        <f aca="false">IF(BB$4&lt;Assumptions!$B$12,0,Assumptions!$C$12*(1-EXP(-(BB$4-Assumptions!$B$12+1)/Assumptions!$D$12))*BB$7*BB$8)</f>
        <v>21335.657564709</v>
      </c>
      <c r="BC11" s="29" t="n">
        <f aca="false">IF(BC$4&lt;Assumptions!$B$12,0,Assumptions!$C$12*(1-EXP(-(BC$4-Assumptions!$B$12+1)/Assumptions!$D$12))*BC$7*BC$8)</f>
        <v>19444.3413209175</v>
      </c>
      <c r="BD11" s="29" t="n">
        <f aca="false">IF(BD$4&lt;Assumptions!$B$12,0,Assumptions!$C$12*(1-EXP(-(BD$4-Assumptions!$B$12+1)/Assumptions!$D$12))*BD$7*BD$8)</f>
        <v>20463.2078026633</v>
      </c>
      <c r="BE11" s="29" t="n">
        <f aca="false">IF(BE$4&lt;Assumptions!$B$12,0,Assumptions!$C$12*(1-EXP(-(BE$4-Assumptions!$B$12+1)/Assumptions!$D$12))*BE$7*BE$8)</f>
        <v>18553.1628287358</v>
      </c>
      <c r="BF11" s="29" t="n">
        <f aca="false">IF(BF$4&lt;Assumptions!$B$12,0,Assumptions!$C$12*(1-EXP(-(BF$4-Assumptions!$B$12+1)/Assumptions!$D$12))*BF$7*BF$8)</f>
        <v>18588.8899563296</v>
      </c>
      <c r="BG11" s="29" t="n">
        <f aca="false">IF(BG$4&lt;Assumptions!$B$12,0,Assumptions!$C$12*(1-EXP(-(BG$4-Assumptions!$B$12+1)/Assumptions!$D$12))*BG$7*BG$8)</f>
        <v>18621.7605005231</v>
      </c>
      <c r="BH11" s="29" t="n">
        <f aca="false">IF(BH$4&lt;Assumptions!$B$12,0,Assumptions!$C$12*(1-EXP(-(BH$4-Assumptions!$B$12+1)/Assumptions!$D$12))*BH$7*BH$8)</f>
        <v>19633.6872222253</v>
      </c>
      <c r="BI11" s="29" t="n">
        <f aca="false">IF(BI$4&lt;Assumptions!$B$12,0,Assumptions!$C$12*(1-EXP(-(BI$4-Assumptions!$B$12+1)/Assumptions!$D$12))*BI$7*BI$8)</f>
        <v>19662.975974801</v>
      </c>
      <c r="BJ11" s="29" t="n">
        <f aca="false">IF(BJ$4&lt;Assumptions!$B$12,0,Assumptions!$C$12*(1-EXP(-(BJ$4-Assumptions!$B$12+1)/Assumptions!$D$12))*BJ$7*BJ$8)</f>
        <v>22643.4113672228</v>
      </c>
    </row>
    <row r="12" customFormat="false" ht="15" hidden="false" customHeight="false" outlineLevel="0" collapsed="false">
      <c r="A12" s="28" t="str">
        <f aca="false">Assumptions!A13</f>
        <v>China → Gambia</v>
      </c>
      <c r="B12" s="16" t="s">
        <v>191</v>
      </c>
      <c r="C12" s="29" t="n">
        <f aca="false">IF(C$4&lt;Assumptions!$B$13,0,Assumptions!$C$13*(1-EXP(-(C$4-Assumptions!$B$13+1)/Assumptions!$D$13))*C$7*C$8)</f>
        <v>0</v>
      </c>
      <c r="D12" s="29" t="n">
        <f aca="false">IF(D$4&lt;Assumptions!$B$13,0,Assumptions!$C$13*(1-EXP(-(D$4-Assumptions!$B$13+1)/Assumptions!$D$13))*D$7*D$8)</f>
        <v>0</v>
      </c>
      <c r="E12" s="29" t="n">
        <f aca="false">IF(E$4&lt;Assumptions!$B$13,0,Assumptions!$C$13*(1-EXP(-(E$4-Assumptions!$B$13+1)/Assumptions!$D$13))*E$7*E$8)</f>
        <v>0</v>
      </c>
      <c r="F12" s="29" t="n">
        <f aca="false">IF(F$4&lt;Assumptions!$B$13,0,Assumptions!$C$13*(1-EXP(-(F$4-Assumptions!$B$13+1)/Assumptions!$D$13))*F$7*F$8)</f>
        <v>0</v>
      </c>
      <c r="G12" s="29" t="n">
        <f aca="false">IF(G$4&lt;Assumptions!$B$13,0,Assumptions!$C$13*(1-EXP(-(G$4-Assumptions!$B$13+1)/Assumptions!$D$13))*G$7*G$8)</f>
        <v>0</v>
      </c>
      <c r="H12" s="29" t="n">
        <f aca="false">IF(H$4&lt;Assumptions!$B$13,0,Assumptions!$C$13*(1-EXP(-(H$4-Assumptions!$B$13+1)/Assumptions!$D$13))*H$7*H$8)</f>
        <v>0</v>
      </c>
      <c r="I12" s="29" t="n">
        <f aca="false">IF(I$4&lt;Assumptions!$B$13,0,Assumptions!$C$13*(1-EXP(-(I$4-Assumptions!$B$13+1)/Assumptions!$D$13))*I$7*I$8)</f>
        <v>0</v>
      </c>
      <c r="J12" s="29" t="n">
        <f aca="false">IF(J$4&lt;Assumptions!$B$13,0,Assumptions!$C$13*(1-EXP(-(J$4-Assumptions!$B$13+1)/Assumptions!$D$13))*J$7*J$8)</f>
        <v>0</v>
      </c>
      <c r="K12" s="29" t="n">
        <f aca="false">IF(K$4&lt;Assumptions!$B$13,0,Assumptions!$C$13*(1-EXP(-(K$4-Assumptions!$B$13+1)/Assumptions!$D$13))*K$7*K$8)</f>
        <v>0</v>
      </c>
      <c r="L12" s="29" t="n">
        <f aca="false">IF(L$4&lt;Assumptions!$B$13,0,Assumptions!$C$13*(1-EXP(-(L$4-Assumptions!$B$13+1)/Assumptions!$D$13))*L$7*L$8)</f>
        <v>0</v>
      </c>
      <c r="M12" s="29" t="n">
        <f aca="false">IF(M$4&lt;Assumptions!$B$13,0,Assumptions!$C$13*(1-EXP(-(M$4-Assumptions!$B$13+1)/Assumptions!$D$13))*M$7*M$8)</f>
        <v>0</v>
      </c>
      <c r="N12" s="29" t="n">
        <f aca="false">IF(N$4&lt;Assumptions!$B$13,0,Assumptions!$C$13*(1-EXP(-(N$4-Assumptions!$B$13+1)/Assumptions!$D$13))*N$7*N$8)</f>
        <v>0</v>
      </c>
      <c r="O12" s="29" t="n">
        <f aca="false">IF(O$4&lt;Assumptions!$B$13,0,Assumptions!$C$13*(1-EXP(-(O$4-Assumptions!$B$13+1)/Assumptions!$D$13))*O$7*O$8)</f>
        <v>0</v>
      </c>
      <c r="P12" s="29" t="n">
        <f aca="false">IF(P$4&lt;Assumptions!$B$13,0,Assumptions!$C$13*(1-EXP(-(P$4-Assumptions!$B$13+1)/Assumptions!$D$13))*P$7*P$8)</f>
        <v>0</v>
      </c>
      <c r="Q12" s="29" t="n">
        <f aca="false">IF(Q$4&lt;Assumptions!$B$13,0,Assumptions!$C$13*(1-EXP(-(Q$4-Assumptions!$B$13+1)/Assumptions!$D$13))*Q$7*Q$8)</f>
        <v>1039.4226098188</v>
      </c>
      <c r="R12" s="29" t="n">
        <f aca="false">IF(R$4&lt;Assumptions!$B$13,0,Assumptions!$C$13*(1-EXP(-(R$4-Assumptions!$B$13+1)/Assumptions!$D$13))*R$7*R$8)</f>
        <v>2195.31133406422</v>
      </c>
      <c r="S12" s="29" t="n">
        <f aca="false">IF(S$4&lt;Assumptions!$B$13,0,Assumptions!$C$13*(1-EXP(-(S$4-Assumptions!$B$13+1)/Assumptions!$D$13))*S$7*S$8)</f>
        <v>2875.58982007174</v>
      </c>
      <c r="T12" s="29" t="n">
        <f aca="false">IF(T$4&lt;Assumptions!$B$13,0,Assumptions!$C$13*(1-EXP(-(T$4-Assumptions!$B$13+1)/Assumptions!$D$13))*T$7*T$8)</f>
        <v>3869.34761066778</v>
      </c>
      <c r="U12" s="29" t="n">
        <f aca="false">IF(U$4&lt;Assumptions!$B$13,0,Assumptions!$C$13*(1-EXP(-(U$4-Assumptions!$B$13+1)/Assumptions!$D$13))*U$7*U$8)</f>
        <v>4208.37821702452</v>
      </c>
      <c r="V12" s="29" t="n">
        <f aca="false">IF(V$4&lt;Assumptions!$B$13,0,Assumptions!$C$13*(1-EXP(-(V$4-Assumptions!$B$13+1)/Assumptions!$D$13))*V$7*V$8)</f>
        <v>4859.34635254898</v>
      </c>
      <c r="W12" s="29" t="n">
        <f aca="false">IF(W$4&lt;Assumptions!$B$13,0,Assumptions!$C$13*(1-EXP(-(W$4-Assumptions!$B$13+1)/Assumptions!$D$13))*W$7*W$8)</f>
        <v>5458.26594973992</v>
      </c>
      <c r="X12" s="29" t="n">
        <f aca="false">IF(X$4&lt;Assumptions!$B$13,0,Assumptions!$C$13*(1-EXP(-(X$4-Assumptions!$B$13+1)/Assumptions!$D$13))*X$7*X$8)</f>
        <v>6325.5774525763</v>
      </c>
      <c r="Y12" s="29" t="n">
        <f aca="false">IF(Y$4&lt;Assumptions!$B$13,0,Assumptions!$C$13*(1-EXP(-(Y$4-Assumptions!$B$13+1)/Assumptions!$D$13))*Y$7*Y$8)</f>
        <v>6859.23481436681</v>
      </c>
      <c r="Z12" s="29" t="n">
        <f aca="false">IF(Z$4&lt;Assumptions!$B$13,0,Assumptions!$C$13*(1-EXP(-(Z$4-Assumptions!$B$13+1)/Assumptions!$D$13))*Z$7*Z$8)</f>
        <v>8452.75678281918</v>
      </c>
      <c r="AA12" s="29" t="n">
        <f aca="false">IF(AA$4&lt;Assumptions!$B$13,0,Assumptions!$C$13*(1-EXP(-(AA$4-Assumptions!$B$13+1)/Assumptions!$D$13))*AA$7*AA$8)</f>
        <v>7411.85676884114</v>
      </c>
      <c r="AB12" s="29" t="n">
        <f aca="false">IF(AB$4&lt;Assumptions!$B$13,0,Assumptions!$C$13*(1-EXP(-(AB$4-Assumptions!$B$13+1)/Assumptions!$D$13))*AB$7*AB$8)</f>
        <v>7806.68890153269</v>
      </c>
      <c r="AC12" s="29" t="n">
        <f aca="false">IF(AC$4&lt;Assumptions!$B$13,0,Assumptions!$C$13*(1-EXP(-(AC$4-Assumptions!$B$13+1)/Assumptions!$D$13))*AC$7*AC$8)</f>
        <v>8599.94947361235</v>
      </c>
      <c r="AD12" s="29" t="n">
        <f aca="false">IF(AD$4&lt;Assumptions!$B$13,0,Assumptions!$C$13*(1-EXP(-(AD$4-Assumptions!$B$13+1)/Assumptions!$D$13))*AD$7*AD$8)</f>
        <v>9846.93389802126</v>
      </c>
      <c r="AE12" s="29" t="n">
        <f aca="false">IF(AE$4&lt;Assumptions!$B$13,0,Assumptions!$C$13*(1-EXP(-(AE$4-Assumptions!$B$13+1)/Assumptions!$D$13))*AE$7*AE$8)</f>
        <v>9275.43764081753</v>
      </c>
      <c r="AF12" s="29" t="n">
        <f aca="false">IF(AF$4&lt;Assumptions!$B$13,0,Assumptions!$C$13*(1-EXP(-(AF$4-Assumptions!$B$13+1)/Assumptions!$D$13))*AF$7*AF$8)</f>
        <v>10051.8990647203</v>
      </c>
      <c r="AG12" s="29" t="n">
        <f aca="false">IF(AG$4&lt;Assumptions!$B$13,0,Assumptions!$C$13*(1-EXP(-(AG$4-Assumptions!$B$13+1)/Assumptions!$D$13))*AG$7*AG$8)</f>
        <v>9354.86472824974</v>
      </c>
      <c r="AH12" s="29" t="n">
        <f aca="false">IF(AH$4&lt;Assumptions!$B$13,0,Assumptions!$C$13*(1-EXP(-(AH$4-Assumptions!$B$13+1)/Assumptions!$D$13))*AH$7*AH$8)</f>
        <v>9594.34252216689</v>
      </c>
      <c r="AI12" s="29" t="n">
        <f aca="false">IF(AI$4&lt;Assumptions!$B$13,0,Assumptions!$C$13*(1-EXP(-(AI$4-Assumptions!$B$13+1)/Assumptions!$D$13))*AI$7*AI$8)</f>
        <v>9814.67272888812</v>
      </c>
      <c r="AJ12" s="29" t="n">
        <f aca="false">IF(AJ$4&lt;Assumptions!$B$13,0,Assumptions!$C$13*(1-EXP(-(AJ$4-Assumptions!$B$13+1)/Assumptions!$D$13))*AJ$7*AJ$8)</f>
        <v>10544.6171631117</v>
      </c>
      <c r="AK12" s="29" t="n">
        <f aca="false">IF(AK$4&lt;Assumptions!$B$13,0,Assumptions!$C$13*(1-EXP(-(AK$4-Assumptions!$B$13+1)/Assumptions!$D$13))*AK$7*AK$8)</f>
        <v>10740.9387351442</v>
      </c>
      <c r="AL12" s="29" t="n">
        <f aca="false">IF(AL$4&lt;Assumptions!$B$13,0,Assumptions!$C$13*(1-EXP(-(AL$4-Assumptions!$B$13+1)/Assumptions!$D$13))*AL$7*AL$8)</f>
        <v>12559.7977961086</v>
      </c>
      <c r="AM12" s="29" t="n">
        <f aca="false">IF(AM$4&lt;Assumptions!$B$13,0,Assumptions!$C$13*(1-EXP(-(AM$4-Assumptions!$B$13+1)/Assumptions!$D$13))*AM$7*AM$8)</f>
        <v>10533.3586276967</v>
      </c>
      <c r="AN12" s="29" t="n">
        <f aca="false">IF(AN$4&lt;Assumptions!$B$13,0,Assumptions!$C$13*(1-EXP(-(AN$4-Assumptions!$B$13+1)/Assumptions!$D$13))*AN$7*AN$8)</f>
        <v>10678.6092520278</v>
      </c>
      <c r="AO12" s="29" t="n">
        <f aca="false">IF(AO$4&lt;Assumptions!$B$13,0,Assumptions!$C$13*(1-EXP(-(AO$4-Assumptions!$B$13+1)/Assumptions!$D$13))*AO$7*AO$8)</f>
        <v>11381.3118712264</v>
      </c>
      <c r="AP12" s="29" t="n">
        <f aca="false">IF(AP$4&lt;Assumptions!$B$13,0,Assumptions!$C$13*(1-EXP(-(AP$4-Assumptions!$B$13+1)/Assumptions!$D$13))*AP$7*AP$8)</f>
        <v>12661.8085309046</v>
      </c>
      <c r="AQ12" s="29" t="n">
        <f aca="false">IF(AQ$4&lt;Assumptions!$B$13,0,Assumptions!$C$13*(1-EXP(-(AQ$4-Assumptions!$B$13+1)/Assumptions!$D$13))*AQ$7*AQ$8)</f>
        <v>11629.8100806958</v>
      </c>
      <c r="AR12" s="29" t="n">
        <f aca="false">IF(AR$4&lt;Assumptions!$B$13,0,Assumptions!$C$13*(1-EXP(-(AR$4-Assumptions!$B$13+1)/Assumptions!$D$13))*AR$7*AR$8)</f>
        <v>12326.3326386509</v>
      </c>
      <c r="AS12" s="29" t="n">
        <f aca="false">IF(AS$4&lt;Assumptions!$B$13,0,Assumptions!$C$13*(1-EXP(-(AS$4-Assumptions!$B$13+1)/Assumptions!$D$13))*AS$7*AS$8)</f>
        <v>11248.1513099956</v>
      </c>
      <c r="AT12" s="29" t="n">
        <f aca="false">IF(AT$4&lt;Assumptions!$B$13,0,Assumptions!$C$13*(1-EXP(-(AT$4-Assumptions!$B$13+1)/Assumptions!$D$13))*AT$7*AT$8)</f>
        <v>11336.2502669949</v>
      </c>
      <c r="AU12" s="29" t="n">
        <f aca="false">IF(AU$4&lt;Assumptions!$B$13,0,Assumptions!$C$13*(1-EXP(-(AU$4-Assumptions!$B$13+1)/Assumptions!$D$13))*AU$7*AU$8)</f>
        <v>11417.3052203166</v>
      </c>
      <c r="AV12" s="29" t="n">
        <f aca="false">IF(AV$4&lt;Assumptions!$B$13,0,Assumptions!$C$13*(1-EXP(-(AV$4-Assumptions!$B$13+1)/Assumptions!$D$13))*AV$7*AV$8)</f>
        <v>12096.7151341036</v>
      </c>
      <c r="AW12" s="29" t="n">
        <f aca="false">IF(AW$4&lt;Assumptions!$B$13,0,Assumptions!$C$13*(1-EXP(-(AW$4-Assumptions!$B$13+1)/Assumptions!$D$13))*AW$7*AW$8)</f>
        <v>12168.9378043128</v>
      </c>
      <c r="AX12" s="29" t="n">
        <f aca="false">IF(AX$4&lt;Assumptions!$B$13,0,Assumptions!$C$13*(1-EXP(-(AX$4-Assumptions!$B$13+1)/Assumptions!$D$13))*AX$7*AX$8)</f>
        <v>14070.6937489457</v>
      </c>
      <c r="AY12" s="29" t="n">
        <f aca="false">IF(AY$4&lt;Assumptions!$B$13,0,Assumptions!$C$13*(1-EXP(-(AY$4-Assumptions!$B$13+1)/Assumptions!$D$13))*AY$7*AY$8)</f>
        <v>11681.6949871482</v>
      </c>
      <c r="AZ12" s="29" t="n">
        <f aca="false">IF(AZ$4&lt;Assumptions!$B$13,0,Assumptions!$C$13*(1-EXP(-(AZ$4-Assumptions!$B$13+1)/Assumptions!$D$13))*AZ$7*AZ$8)</f>
        <v>11735.1297056569</v>
      </c>
      <c r="BA12" s="29" t="n">
        <f aca="false">IF(BA$4&lt;Assumptions!$B$13,0,Assumptions!$C$13*(1-EXP(-(BA$4-Assumptions!$B$13+1)/Assumptions!$D$13))*BA$7*BA$8)</f>
        <v>12404.5179157559</v>
      </c>
      <c r="BB12" s="29" t="n">
        <f aca="false">IF(BB$4&lt;Assumptions!$B$13,0,Assumptions!$C$13*(1-EXP(-(BB$4-Assumptions!$B$13+1)/Assumptions!$D$13))*BB$7*BB$8)</f>
        <v>13697.3430378174</v>
      </c>
      <c r="BC12" s="29" t="n">
        <f aca="false">IF(BC$4&lt;Assumptions!$B$13,0,Assumptions!$C$13*(1-EXP(-(BC$4-Assumptions!$B$13+1)/Assumptions!$D$13))*BC$7*BC$8)</f>
        <v>12495.9352981876</v>
      </c>
      <c r="BD12" s="29" t="n">
        <f aca="false">IF(BD$4&lt;Assumptions!$B$13,0,Assumptions!$C$13*(1-EXP(-(BD$4-Assumptions!$B$13+1)/Assumptions!$D$13))*BD$7*BD$8)</f>
        <v>13163.04999081</v>
      </c>
      <c r="BE12" s="29" t="n">
        <f aca="false">IF(BE$4&lt;Assumptions!$B$13,0,Assumptions!$C$13*(1-EXP(-(BE$4-Assumptions!$B$13+1)/Assumptions!$D$13))*BE$7*BE$8)</f>
        <v>11944.6525196657</v>
      </c>
      <c r="BF12" s="29" t="n">
        <f aca="false">IF(BF$4&lt;Assumptions!$B$13,0,Assumptions!$C$13*(1-EXP(-(BF$4-Assumptions!$B$13+1)/Assumptions!$D$13))*BF$7*BF$8)</f>
        <v>11977.0623147344</v>
      </c>
      <c r="BG12" s="29" t="n">
        <f aca="false">IF(BG$4&lt;Assumptions!$B$13,0,Assumptions!$C$13*(1-EXP(-(BG$4-Assumptions!$B$13+1)/Assumptions!$D$13))*BG$7*BG$8)</f>
        <v>12006.8807656666</v>
      </c>
      <c r="BH12" s="29" t="n">
        <f aca="false">IF(BH$4&lt;Assumptions!$B$13,0,Assumptions!$C$13*(1-EXP(-(BH$4-Assumptions!$B$13+1)/Assumptions!$D$13))*BH$7*BH$8)</f>
        <v>12667.7000683154</v>
      </c>
      <c r="BI12" s="29" t="n">
        <f aca="false">IF(BI$4&lt;Assumptions!$B$13,0,Assumptions!$C$13*(1-EXP(-(BI$4-Assumptions!$B$13+1)/Assumptions!$D$13))*BI$7*BI$8)</f>
        <v>12694.2693038719</v>
      </c>
      <c r="BJ12" s="29" t="n">
        <f aca="false">IF(BJ$4&lt;Assumptions!$B$13,0,Assumptions!$C$13*(1-EXP(-(BJ$4-Assumptions!$B$13+1)/Assumptions!$D$13))*BJ$7*BJ$8)</f>
        <v>14626.5213077436</v>
      </c>
    </row>
    <row r="13" customFormat="false" ht="15" hidden="false" customHeight="false" outlineLevel="0" collapsed="false">
      <c r="A13" s="28" t="str">
        <f aca="false">Assumptions!A14</f>
        <v>USA → Gambia</v>
      </c>
      <c r="B13" s="16" t="s">
        <v>191</v>
      </c>
      <c r="C13" s="29" t="n">
        <f aca="false">IF(C$4&lt;Assumptions!$B$14,0,Assumptions!$C$14*(1-EXP(-(C$4-Assumptions!$B$14+1)/Assumptions!$D$14))*C$7*C$8)</f>
        <v>0</v>
      </c>
      <c r="D13" s="29" t="n">
        <f aca="false">IF(D$4&lt;Assumptions!$B$14,0,Assumptions!$C$14*(1-EXP(-(D$4-Assumptions!$B$14+1)/Assumptions!$D$14))*D$7*D$8)</f>
        <v>0</v>
      </c>
      <c r="E13" s="29" t="n">
        <f aca="false">IF(E$4&lt;Assumptions!$B$14,0,Assumptions!$C$14*(1-EXP(-(E$4-Assumptions!$B$14+1)/Assumptions!$D$14))*E$7*E$8)</f>
        <v>0</v>
      </c>
      <c r="F13" s="29" t="n">
        <f aca="false">IF(F$4&lt;Assumptions!$B$14,0,Assumptions!$C$14*(1-EXP(-(F$4-Assumptions!$B$14+1)/Assumptions!$D$14))*F$7*F$8)</f>
        <v>0</v>
      </c>
      <c r="G13" s="29" t="n">
        <f aca="false">IF(G$4&lt;Assumptions!$B$14,0,Assumptions!$C$14*(1-EXP(-(G$4-Assumptions!$B$14+1)/Assumptions!$D$14))*G$7*G$8)</f>
        <v>0</v>
      </c>
      <c r="H13" s="29" t="n">
        <f aca="false">IF(H$4&lt;Assumptions!$B$14,0,Assumptions!$C$14*(1-EXP(-(H$4-Assumptions!$B$14+1)/Assumptions!$D$14))*H$7*H$8)</f>
        <v>0</v>
      </c>
      <c r="I13" s="29" t="n">
        <f aca="false">IF(I$4&lt;Assumptions!$B$14,0,Assumptions!$C$14*(1-EXP(-(I$4-Assumptions!$B$14+1)/Assumptions!$D$14))*I$7*I$8)</f>
        <v>0</v>
      </c>
      <c r="J13" s="29" t="n">
        <f aca="false">IF(J$4&lt;Assumptions!$B$14,0,Assumptions!$C$14*(1-EXP(-(J$4-Assumptions!$B$14+1)/Assumptions!$D$14))*J$7*J$8)</f>
        <v>0</v>
      </c>
      <c r="K13" s="29" t="n">
        <f aca="false">IF(K$4&lt;Assumptions!$B$14,0,Assumptions!$C$14*(1-EXP(-(K$4-Assumptions!$B$14+1)/Assumptions!$D$14))*K$7*K$8)</f>
        <v>0</v>
      </c>
      <c r="L13" s="29" t="n">
        <f aca="false">IF(L$4&lt;Assumptions!$B$14,0,Assumptions!$C$14*(1-EXP(-(L$4-Assumptions!$B$14+1)/Assumptions!$D$14))*L$7*L$8)</f>
        <v>0</v>
      </c>
      <c r="M13" s="29" t="n">
        <f aca="false">IF(M$4&lt;Assumptions!$B$14,0,Assumptions!$C$14*(1-EXP(-(M$4-Assumptions!$B$14+1)/Assumptions!$D$14))*M$7*M$8)</f>
        <v>0</v>
      </c>
      <c r="N13" s="29" t="n">
        <f aca="false">IF(N$4&lt;Assumptions!$B$14,0,Assumptions!$C$14*(1-EXP(-(N$4-Assumptions!$B$14+1)/Assumptions!$D$14))*N$7*N$8)</f>
        <v>0</v>
      </c>
      <c r="O13" s="29" t="n">
        <f aca="false">IF(O$4&lt;Assumptions!$B$14,0,Assumptions!$C$14*(1-EXP(-(O$4-Assumptions!$B$14+1)/Assumptions!$D$14))*O$7*O$8)</f>
        <v>0</v>
      </c>
      <c r="P13" s="29" t="n">
        <f aca="false">IF(P$4&lt;Assumptions!$B$14,0,Assumptions!$C$14*(1-EXP(-(P$4-Assumptions!$B$14+1)/Assumptions!$D$14))*P$7*P$8)</f>
        <v>0</v>
      </c>
      <c r="Q13" s="29" t="n">
        <f aca="false">IF(Q$4&lt;Assumptions!$B$14,0,Assumptions!$C$14*(1-EXP(-(Q$4-Assumptions!$B$14+1)/Assumptions!$D$14))*Q$7*Q$8)</f>
        <v>0</v>
      </c>
      <c r="R13" s="29" t="n">
        <f aca="false">IF(R$4&lt;Assumptions!$B$14,0,Assumptions!$C$14*(1-EXP(-(R$4-Assumptions!$B$14+1)/Assumptions!$D$14))*R$7*R$8)</f>
        <v>0</v>
      </c>
      <c r="S13" s="29" t="n">
        <f aca="false">IF(S$4&lt;Assumptions!$B$14,0,Assumptions!$C$14*(1-EXP(-(S$4-Assumptions!$B$14+1)/Assumptions!$D$14))*S$7*S$8)</f>
        <v>0</v>
      </c>
      <c r="T13" s="29" t="n">
        <f aca="false">IF(T$4&lt;Assumptions!$B$14,0,Assumptions!$C$14*(1-EXP(-(T$4-Assumptions!$B$14+1)/Assumptions!$D$14))*T$7*T$8)</f>
        <v>0</v>
      </c>
      <c r="U13" s="29" t="n">
        <f aca="false">IF(U$4&lt;Assumptions!$B$14,0,Assumptions!$C$14*(1-EXP(-(U$4-Assumptions!$B$14+1)/Assumptions!$D$14))*U$7*U$8)</f>
        <v>759.578061021429</v>
      </c>
      <c r="V13" s="29" t="n">
        <f aca="false">IF(V$4&lt;Assumptions!$B$14,0,Assumptions!$C$14*(1-EXP(-(V$4-Assumptions!$B$14+1)/Assumptions!$D$14))*V$7*V$8)</f>
        <v>1458.42361353917</v>
      </c>
      <c r="W13" s="29" t="n">
        <f aca="false">IF(W$4&lt;Assumptions!$B$14,0,Assumptions!$C$14*(1-EXP(-(W$4-Assumptions!$B$14+1)/Assumptions!$D$14))*W$7*W$8)</f>
        <v>2101.39256082165</v>
      </c>
      <c r="X13" s="29" t="n">
        <f aca="false">IF(X$4&lt;Assumptions!$B$14,0,Assumptions!$C$14*(1-EXP(-(X$4-Assumptions!$B$14+1)/Assumptions!$D$14))*X$7*X$8)</f>
        <v>2834.68689426211</v>
      </c>
      <c r="Y13" s="29" t="n">
        <f aca="false">IF(Y$4&lt;Assumptions!$B$14,0,Assumptions!$C$14*(1-EXP(-(Y$4-Assumptions!$B$14+1)/Assumptions!$D$14))*Y$7*Y$8)</f>
        <v>3407.59369799556</v>
      </c>
      <c r="Z13" s="29" t="n">
        <f aca="false">IF(Z$4&lt;Assumptions!$B$14,0,Assumptions!$C$14*(1-EXP(-(Z$4-Assumptions!$B$14+1)/Assumptions!$D$14))*Z$7*Z$8)</f>
        <v>4524.89741330472</v>
      </c>
      <c r="AA13" s="29" t="n">
        <f aca="false">IF(AA$4&lt;Assumptions!$B$14,0,Assumptions!$C$14*(1-EXP(-(AA$4-Assumptions!$B$14+1)/Assumptions!$D$14))*AA$7*AA$8)</f>
        <v>4198.66611518455</v>
      </c>
      <c r="AB13" s="29" t="n">
        <f aca="false">IF(AB$4&lt;Assumptions!$B$14,0,Assumptions!$C$14*(1-EXP(-(AB$4-Assumptions!$B$14+1)/Assumptions!$D$14))*AB$7*AB$8)</f>
        <v>4622.53736919038</v>
      </c>
      <c r="AC13" s="29" t="n">
        <f aca="false">IF(AC$4&lt;Assumptions!$B$14,0,Assumptions!$C$14*(1-EXP(-(AC$4-Assumptions!$B$14+1)/Assumptions!$D$14))*AC$7*AC$8)</f>
        <v>5276.33447258985</v>
      </c>
      <c r="AD13" s="29" t="n">
        <f aca="false">IF(AD$4&lt;Assumptions!$B$14,0,Assumptions!$C$14*(1-EXP(-(AD$4-Assumptions!$B$14+1)/Assumptions!$D$14))*AD$7*AD$8)</f>
        <v>6219.41970642214</v>
      </c>
      <c r="AE13" s="29" t="n">
        <f aca="false">IF(AE$4&lt;Assumptions!$B$14,0,Assumptions!$C$14*(1-EXP(-(AE$4-Assumptions!$B$14+1)/Assumptions!$D$14))*AE$7*AE$8)</f>
        <v>6001.50345655153</v>
      </c>
      <c r="AF13" s="29" t="n">
        <f aca="false">IF(AF$4&lt;Assumptions!$B$14,0,Assumptions!$C$14*(1-EXP(-(AF$4-Assumptions!$B$14+1)/Assumptions!$D$14))*AF$7*AF$8)</f>
        <v>6637.26586769986</v>
      </c>
      <c r="AG13" s="29" t="n">
        <f aca="false">IF(AG$4&lt;Assumptions!$B$14,0,Assumptions!$C$14*(1-EXP(-(AG$4-Assumptions!$B$14+1)/Assumptions!$D$14))*AG$7*AG$8)</f>
        <v>6284.57846148595</v>
      </c>
      <c r="AH13" s="29" t="n">
        <f aca="false">IF(AH$4&lt;Assumptions!$B$14,0,Assumptions!$C$14*(1-EXP(-(AH$4-Assumptions!$B$14+1)/Assumptions!$D$14))*AH$7*AH$8)</f>
        <v>6541.66937281132</v>
      </c>
      <c r="AI13" s="29" t="n">
        <f aca="false">IF(AI$4&lt;Assumptions!$B$14,0,Assumptions!$C$14*(1-EXP(-(AI$4-Assumptions!$B$14+1)/Assumptions!$D$14))*AI$7*AI$8)</f>
        <v>6778.20442982819</v>
      </c>
      <c r="AJ13" s="29" t="n">
        <f aca="false">IF(AJ$4&lt;Assumptions!$B$14,0,Assumptions!$C$14*(1-EXP(-(AJ$4-Assumptions!$B$14+1)/Assumptions!$D$14))*AJ$7*AJ$8)</f>
        <v>7364.02861884273</v>
      </c>
      <c r="AK13" s="29" t="n">
        <f aca="false">IF(AK$4&lt;Assumptions!$B$14,0,Assumptions!$C$14*(1-EXP(-(AK$4-Assumptions!$B$14+1)/Assumptions!$D$14))*AK$7*AK$8)</f>
        <v>7574.78925364351</v>
      </c>
      <c r="AL13" s="29" t="n">
        <f aca="false">IF(AL$4&lt;Assumptions!$B$14,0,Assumptions!$C$14*(1-EXP(-(AL$4-Assumptions!$B$14+1)/Assumptions!$D$14))*AL$7*AL$8)</f>
        <v>8934.00315829306</v>
      </c>
      <c r="AM13" s="29" t="n">
        <f aca="false">IF(AM$4&lt;Assumptions!$B$14,0,Assumptions!$C$14*(1-EXP(-(AM$4-Assumptions!$B$14+1)/Assumptions!$D$14))*AM$7*AM$8)</f>
        <v>7549.74825299086</v>
      </c>
      <c r="AN13" s="29" t="n">
        <f aca="false">IF(AN$4&lt;Assumptions!$B$14,0,Assumptions!$C$14*(1-EXP(-(AN$4-Assumptions!$B$14+1)/Assumptions!$D$14))*AN$7*AN$8)</f>
        <v>7705.68177304316</v>
      </c>
      <c r="AO13" s="29" t="n">
        <f aca="false">IF(AO$4&lt;Assumptions!$B$14,0,Assumptions!$C$14*(1-EXP(-(AO$4-Assumptions!$B$14+1)/Assumptions!$D$14))*AO$7*AO$8)</f>
        <v>8262.26056549555</v>
      </c>
      <c r="AP13" s="29" t="n">
        <f aca="false">IF(AP$4&lt;Assumptions!$B$14,0,Assumptions!$C$14*(1-EXP(-(AP$4-Assumptions!$B$14+1)/Assumptions!$D$14))*AP$7*AP$8)</f>
        <v>9241.32279312337</v>
      </c>
      <c r="AQ13" s="29" t="n">
        <f aca="false">IF(AQ$4&lt;Assumptions!$B$14,0,Assumptions!$C$14*(1-EXP(-(AQ$4-Assumptions!$B$14+1)/Assumptions!$D$14))*AQ$7*AQ$8)</f>
        <v>8529.03532607023</v>
      </c>
      <c r="AR13" s="29" t="n">
        <f aca="false">IF(AR$4&lt;Assumptions!$B$14,0,Assumptions!$C$14*(1-EXP(-(AR$4-Assumptions!$B$14+1)/Assumptions!$D$14))*AR$7*AR$8)</f>
        <v>9078.97952601557</v>
      </c>
      <c r="AS13" s="29" t="n">
        <f aca="false">IF(AS$4&lt;Assumptions!$B$14,0,Assumptions!$C$14*(1-EXP(-(AS$4-Assumptions!$B$14+1)/Assumptions!$D$14))*AS$7*AS$8)</f>
        <v>8317.11252128083</v>
      </c>
      <c r="AT13" s="29" t="n">
        <f aca="false">IF(AT$4&lt;Assumptions!$B$14,0,Assumptions!$C$14*(1-EXP(-(AT$4-Assumptions!$B$14+1)/Assumptions!$D$14))*AT$7*AT$8)</f>
        <v>8411.69098206947</v>
      </c>
      <c r="AU13" s="29" t="n">
        <f aca="false">IF(AU$4&lt;Assumptions!$B$14,0,Assumptions!$C$14*(1-EXP(-(AU$4-Assumptions!$B$14+1)/Assumptions!$D$14))*AU$7*AU$8)</f>
        <v>8498.70736666229</v>
      </c>
      <c r="AV13" s="29" t="n">
        <f aca="false">IF(AV$4&lt;Assumptions!$B$14,0,Assumptions!$C$14*(1-EXP(-(AV$4-Assumptions!$B$14+1)/Assumptions!$D$14))*AV$7*AV$8)</f>
        <v>9030.28032135595</v>
      </c>
      <c r="AW13" s="29" t="n">
        <f aca="false">IF(AW$4&lt;Assumptions!$B$14,0,Assumptions!$C$14*(1-EXP(-(AW$4-Assumptions!$B$14+1)/Assumptions!$D$14))*AW$7*AW$8)</f>
        <v>9107.8148259074</v>
      </c>
      <c r="AX13" s="29" t="n">
        <f aca="false">IF(AX$4&lt;Assumptions!$B$14,0,Assumptions!$C$14*(1-EXP(-(AX$4-Assumptions!$B$14+1)/Assumptions!$D$14))*AX$7*AX$8)</f>
        <v>10556.0225158252</v>
      </c>
      <c r="AY13" s="29" t="n">
        <f aca="false">IF(AY$4&lt;Assumptions!$B$14,0,Assumptions!$C$14*(1-EXP(-(AY$4-Assumptions!$B$14+1)/Assumptions!$D$14))*AY$7*AY$8)</f>
        <v>8782.54247716665</v>
      </c>
      <c r="AZ13" s="29" t="n">
        <f aca="false">IF(AZ$4&lt;Assumptions!$B$14,0,Assumptions!$C$14*(1-EXP(-(AZ$4-Assumptions!$B$14+1)/Assumptions!$D$14))*AZ$7*AZ$8)</f>
        <v>8839.90721338339</v>
      </c>
      <c r="BA13" s="29" t="n">
        <f aca="false">IF(BA$4&lt;Assumptions!$B$14,0,Assumptions!$C$14*(1-EXP(-(BA$4-Assumptions!$B$14+1)/Assumptions!$D$14))*BA$7*BA$8)</f>
        <v>9360.72138793293</v>
      </c>
      <c r="BB13" s="29" t="n">
        <f aca="false">IF(BB$4&lt;Assumptions!$B$14,0,Assumptions!$C$14*(1-EXP(-(BB$4-Assumptions!$B$14+1)/Assumptions!$D$14))*BB$7*BB$8)</f>
        <v>10353.0188119333</v>
      </c>
      <c r="BC13" s="29" t="n">
        <f aca="false">IF(BC$4&lt;Assumptions!$B$14,0,Assumptions!$C$14*(1-EXP(-(BC$4-Assumptions!$B$14+1)/Assumptions!$D$14))*BC$7*BC$8)</f>
        <v>9458.86233777178</v>
      </c>
      <c r="BD13" s="29" t="n">
        <f aca="false">IF(BD$4&lt;Assumptions!$B$14,0,Assumptions!$C$14*(1-EXP(-(BD$4-Assumptions!$B$14+1)/Assumptions!$D$14))*BD$7*BD$8)</f>
        <v>9977.23578213743</v>
      </c>
      <c r="BE13" s="29" t="n">
        <f aca="false">IF(BE$4&lt;Assumptions!$B$14,0,Assumptions!$C$14*(1-EXP(-(BE$4-Assumptions!$B$14+1)/Assumptions!$D$14))*BE$7*BE$8)</f>
        <v>9064.84001536009</v>
      </c>
      <c r="BF13" s="29" t="n">
        <f aca="false">IF(BF$4&lt;Assumptions!$B$14,0,Assumptions!$C$14*(1-EXP(-(BF$4-Assumptions!$B$14+1)/Assumptions!$D$14))*BF$7*BF$8)</f>
        <v>9099.63348666187</v>
      </c>
      <c r="BG13" s="29" t="n">
        <f aca="false">IF(BG$4&lt;Assumptions!$B$14,0,Assumptions!$C$14*(1-EXP(-(BG$4-Assumptions!$B$14+1)/Assumptions!$D$14))*BG$7*BG$8)</f>
        <v>9131.64502559864</v>
      </c>
      <c r="BH13" s="29" t="n">
        <f aca="false">IF(BH$4&lt;Assumptions!$B$14,0,Assumptions!$C$14*(1-EXP(-(BH$4-Assumptions!$B$14+1)/Assumptions!$D$14))*BH$7*BH$8)</f>
        <v>9643.26006652748</v>
      </c>
      <c r="BI13" s="29" t="n">
        <f aca="false">IF(BI$4&lt;Assumptions!$B$14,0,Assumptions!$C$14*(1-EXP(-(BI$4-Assumptions!$B$14+1)/Assumptions!$D$14))*BI$7*BI$8)</f>
        <v>9671.78341673337</v>
      </c>
      <c r="BJ13" s="29" t="n">
        <f aca="false">IF(BJ$4&lt;Assumptions!$B$14,0,Assumptions!$C$14*(1-EXP(-(BJ$4-Assumptions!$B$14+1)/Assumptions!$D$14))*BJ$7*BJ$8)</f>
        <v>11152.7300906433</v>
      </c>
    </row>
    <row r="14" customFormat="false" ht="15" hidden="false" customHeight="false" outlineLevel="0" collapsed="false">
      <c r="A14" s="28" t="str">
        <f aca="false">Assumptions!A15</f>
        <v>Regional: Senegal (Dakar)</v>
      </c>
      <c r="B14" s="16" t="s">
        <v>191</v>
      </c>
      <c r="C14" s="29" t="n">
        <f aca="false">IF(C$4&lt;Assumptions!$B$15,0,Assumptions!$C$15*(1-EXP(-(C$4-Assumptions!$B$15+1)/Assumptions!$D$15))*C$7*C$8)</f>
        <v>0</v>
      </c>
      <c r="D14" s="29" t="n">
        <f aca="false">IF(D$4&lt;Assumptions!$B$15,0,Assumptions!$C$15*(1-EXP(-(D$4-Assumptions!$B$15+1)/Assumptions!$D$15))*D$7*D$8)</f>
        <v>0</v>
      </c>
      <c r="E14" s="29" t="n">
        <f aca="false">IF(E$4&lt;Assumptions!$B$15,0,Assumptions!$C$15*(1-EXP(-(E$4-Assumptions!$B$15+1)/Assumptions!$D$15))*E$7*E$8)</f>
        <v>0</v>
      </c>
      <c r="F14" s="29" t="n">
        <f aca="false">IF(F$4&lt;Assumptions!$B$15,0,Assumptions!$C$15*(1-EXP(-(F$4-Assumptions!$B$15+1)/Assumptions!$D$15))*F$7*F$8)</f>
        <v>0</v>
      </c>
      <c r="G14" s="29" t="n">
        <f aca="false">IF(G$4&lt;Assumptions!$B$15,0,Assumptions!$C$15*(1-EXP(-(G$4-Assumptions!$B$15+1)/Assumptions!$D$15))*G$7*G$8)</f>
        <v>0</v>
      </c>
      <c r="H14" s="29" t="n">
        <f aca="false">IF(H$4&lt;Assumptions!$B$15,0,Assumptions!$C$15*(1-EXP(-(H$4-Assumptions!$B$15+1)/Assumptions!$D$15))*H$7*H$8)</f>
        <v>0</v>
      </c>
      <c r="I14" s="29" t="n">
        <f aca="false">IF(I$4&lt;Assumptions!$B$15,0,Assumptions!$C$15*(1-EXP(-(I$4-Assumptions!$B$15+1)/Assumptions!$D$15))*I$7*I$8)</f>
        <v>0</v>
      </c>
      <c r="J14" s="29" t="n">
        <f aca="false">IF(J$4&lt;Assumptions!$B$15,0,Assumptions!$C$15*(1-EXP(-(J$4-Assumptions!$B$15+1)/Assumptions!$D$15))*J$7*J$8)</f>
        <v>0</v>
      </c>
      <c r="K14" s="29" t="n">
        <f aca="false">IF(K$4&lt;Assumptions!$B$15,0,Assumptions!$C$15*(1-EXP(-(K$4-Assumptions!$B$15+1)/Assumptions!$D$15))*K$7*K$8)</f>
        <v>0</v>
      </c>
      <c r="L14" s="29" t="n">
        <f aca="false">IF(L$4&lt;Assumptions!$B$15,0,Assumptions!$C$15*(1-EXP(-(L$4-Assumptions!$B$15+1)/Assumptions!$D$15))*L$7*L$8)</f>
        <v>0</v>
      </c>
      <c r="M14" s="29" t="n">
        <f aca="false">IF(M$4&lt;Assumptions!$B$15,0,Assumptions!$C$15*(1-EXP(-(M$4-Assumptions!$B$15+1)/Assumptions!$D$15))*M$7*M$8)</f>
        <v>0</v>
      </c>
      <c r="N14" s="29" t="n">
        <f aca="false">IF(N$4&lt;Assumptions!$B$15,0,Assumptions!$C$15*(1-EXP(-(N$4-Assumptions!$B$15+1)/Assumptions!$D$15))*N$7*N$8)</f>
        <v>0</v>
      </c>
      <c r="O14" s="29" t="n">
        <f aca="false">IF(O$4&lt;Assumptions!$B$15,0,Assumptions!$C$15*(1-EXP(-(O$4-Assumptions!$B$15+1)/Assumptions!$D$15))*O$7*O$8)</f>
        <v>0</v>
      </c>
      <c r="P14" s="29" t="n">
        <f aca="false">IF(P$4&lt;Assumptions!$B$15,0,Assumptions!$C$15*(1-EXP(-(P$4-Assumptions!$B$15+1)/Assumptions!$D$15))*P$7*P$8)</f>
        <v>0</v>
      </c>
      <c r="Q14" s="29" t="n">
        <f aca="false">IF(Q$4&lt;Assumptions!$B$15,0,Assumptions!$C$15*(1-EXP(-(Q$4-Assumptions!$B$15+1)/Assumptions!$D$15))*Q$7*Q$8)</f>
        <v>0</v>
      </c>
      <c r="R14" s="29" t="n">
        <f aca="false">IF(R$4&lt;Assumptions!$B$15,0,Assumptions!$C$15*(1-EXP(-(R$4-Assumptions!$B$15+1)/Assumptions!$D$15))*R$7*R$8)</f>
        <v>0</v>
      </c>
      <c r="S14" s="29" t="n">
        <f aca="false">IF(S$4&lt;Assumptions!$B$15,0,Assumptions!$C$15*(1-EXP(-(S$4-Assumptions!$B$15+1)/Assumptions!$D$15))*S$7*S$8)</f>
        <v>0</v>
      </c>
      <c r="T14" s="29" t="n">
        <f aca="false">IF(T$4&lt;Assumptions!$B$15,0,Assumptions!$C$15*(1-EXP(-(T$4-Assumptions!$B$15+1)/Assumptions!$D$15))*T$7*T$8)</f>
        <v>0</v>
      </c>
      <c r="U14" s="29" t="n">
        <f aca="false">IF(U$4&lt;Assumptions!$B$15,0,Assumptions!$C$15*(1-EXP(-(U$4-Assumptions!$B$15+1)/Assumptions!$D$15))*U$7*U$8)</f>
        <v>0</v>
      </c>
      <c r="V14" s="29" t="n">
        <f aca="false">IF(V$4&lt;Assumptions!$B$15,0,Assumptions!$C$15*(1-EXP(-(V$4-Assumptions!$B$15+1)/Assumptions!$D$15))*V$7*V$8)</f>
        <v>0</v>
      </c>
      <c r="W14" s="29" t="n">
        <f aca="false">IF(W$4&lt;Assumptions!$B$15,0,Assumptions!$C$15*(1-EXP(-(W$4-Assumptions!$B$15+1)/Assumptions!$D$15))*W$7*W$8)</f>
        <v>0</v>
      </c>
      <c r="X14" s="29" t="n">
        <f aca="false">IF(X$4&lt;Assumptions!$B$15,0,Assumptions!$C$15*(1-EXP(-(X$4-Assumptions!$B$15+1)/Assumptions!$D$15))*X$7*X$8)</f>
        <v>0</v>
      </c>
      <c r="Y14" s="29" t="n">
        <f aca="false">IF(Y$4&lt;Assumptions!$B$15,0,Assumptions!$C$15*(1-EXP(-(Y$4-Assumptions!$B$15+1)/Assumptions!$D$15))*Y$7*Y$8)</f>
        <v>0</v>
      </c>
      <c r="Z14" s="29" t="n">
        <f aca="false">IF(Z$4&lt;Assumptions!$B$15,0,Assumptions!$C$15*(1-EXP(-(Z$4-Assumptions!$B$15+1)/Assumptions!$D$15))*Z$7*Z$8)</f>
        <v>0</v>
      </c>
      <c r="AA14" s="29" t="n">
        <f aca="false">IF(AA$4&lt;Assumptions!$B$15,0,Assumptions!$C$15*(1-EXP(-(AA$4-Assumptions!$B$15+1)/Assumptions!$D$15))*AA$7*AA$8)</f>
        <v>1822.98734645143</v>
      </c>
      <c r="AB14" s="29" t="n">
        <f aca="false">IF(AB$4&lt;Assumptions!$B$15,0,Assumptions!$C$15*(1-EXP(-(AB$4-Assumptions!$B$15+1)/Assumptions!$D$15))*AB$7*AB$8)</f>
        <v>3500.216672494</v>
      </c>
      <c r="AC14" s="29" t="n">
        <f aca="false">IF(AC$4&lt;Assumptions!$B$15,0,Assumptions!$C$15*(1-EXP(-(AC$4-Assumptions!$B$15+1)/Assumptions!$D$15))*AC$7*AC$8)</f>
        <v>5308.78120628628</v>
      </c>
      <c r="AD14" s="29" t="n">
        <f aca="false">IF(AD$4&lt;Assumptions!$B$15,0,Assumptions!$C$15*(1-EXP(-(AD$4-Assumptions!$B$15+1)/Assumptions!$D$15))*AD$7*AD$8)</f>
        <v>7483.57340085196</v>
      </c>
      <c r="AE14" s="29" t="n">
        <f aca="false">IF(AE$4&lt;Assumptions!$B$15,0,Assumptions!$C$15*(1-EXP(-(AE$4-Assumptions!$B$15+1)/Assumptions!$D$15))*AE$7*AE$8)</f>
        <v>8178.22487518935</v>
      </c>
      <c r="AF14" s="29" t="n">
        <f aca="false">IF(AF$4&lt;Assumptions!$B$15,0,Assumptions!$C$15*(1-EXP(-(AF$4-Assumptions!$B$15+1)/Assumptions!$D$15))*AF$7*AF$8)</f>
        <v>9915.42737524164</v>
      </c>
      <c r="AG14" s="29" t="n">
        <f aca="false">IF(AG$4&lt;Assumptions!$B$15,0,Assumptions!$C$15*(1-EXP(-(AG$4-Assumptions!$B$15+1)/Assumptions!$D$15))*AG$7*AG$8)</f>
        <v>10076.7986764429</v>
      </c>
      <c r="AH14" s="29" t="n">
        <f aca="false">IF(AH$4&lt;Assumptions!$B$15,0,Assumptions!$C$15*(1-EXP(-(AH$4-Assumptions!$B$15+1)/Assumptions!$D$15))*AH$7*AH$8)</f>
        <v>11094.0896860569</v>
      </c>
      <c r="AI14" s="29" t="n">
        <f aca="false">IF(AI$4&lt;Assumptions!$B$15,0,Assumptions!$C$15*(1-EXP(-(AI$4-Assumptions!$B$15+1)/Assumptions!$D$15))*AI$7*AI$8)</f>
        <v>12030.0425975049</v>
      </c>
      <c r="AJ14" s="29" t="n">
        <f aca="false">IF(AJ$4&lt;Assumptions!$B$15,0,Assumptions!$C$15*(1-EXP(-(AJ$4-Assumptions!$B$15+1)/Assumptions!$D$15))*AJ$7*AJ$8)</f>
        <v>13569.6429958301</v>
      </c>
      <c r="AK14" s="29" t="n">
        <f aca="false">IF(AK$4&lt;Assumptions!$B$15,0,Assumptions!$C$15*(1-EXP(-(AK$4-Assumptions!$B$15+1)/Assumptions!$D$15))*AK$7*AK$8)</f>
        <v>14403.6082957237</v>
      </c>
      <c r="AL14" s="29" t="n">
        <f aca="false">IF(AL$4&lt;Assumptions!$B$15,0,Assumptions!$C$15*(1-EXP(-(AL$4-Assumptions!$B$15+1)/Assumptions!$D$15))*AL$7*AL$8)</f>
        <v>17446.5274236682</v>
      </c>
      <c r="AM14" s="29" t="n">
        <f aca="false">IF(AM$4&lt;Assumptions!$B$15,0,Assumptions!$C$15*(1-EXP(-(AM$4-Assumptions!$B$15+1)/Assumptions!$D$15))*AM$7*AM$8)</f>
        <v>15082.9883075663</v>
      </c>
      <c r="AN14" s="29" t="n">
        <f aca="false">IF(AN$4&lt;Assumptions!$B$15,0,Assumptions!$C$15*(1-EXP(-(AN$4-Assumptions!$B$15+1)/Assumptions!$D$15))*AN$7*AN$8)</f>
        <v>15700.0064947472</v>
      </c>
      <c r="AO14" s="29" t="n">
        <f aca="false">IF(AO$4&lt;Assumptions!$B$15,0,Assumptions!$C$15*(1-EXP(-(AO$4-Assumptions!$B$15+1)/Assumptions!$D$15))*AO$7*AO$8)</f>
        <v>17123.8848753554</v>
      </c>
      <c r="AP14" s="29" t="n">
        <f aca="false">IF(AP$4&lt;Assumptions!$B$15,0,Assumptions!$C$15*(1-EXP(-(AP$4-Assumptions!$B$15+1)/Assumptions!$D$15))*AP$7*AP$8)</f>
        <v>19441.0355537448</v>
      </c>
      <c r="AQ14" s="29" t="n">
        <f aca="false">IF(AQ$4&lt;Assumptions!$B$15,0,Assumptions!$C$15*(1-EXP(-(AQ$4-Assumptions!$B$15+1)/Assumptions!$D$15))*AQ$7*AQ$8)</f>
        <v>18179.4942087444</v>
      </c>
      <c r="AR14" s="29" t="n">
        <f aca="false">IF(AR$4&lt;Assumptions!$B$15,0,Assumptions!$C$15*(1-EXP(-(AR$4-Assumptions!$B$15+1)/Assumptions!$D$15))*AR$7*AR$8)</f>
        <v>19577.1199642596</v>
      </c>
      <c r="AS14" s="29" t="n">
        <f aca="false">IF(AS$4&lt;Assumptions!$B$15,0,Assumptions!$C$15*(1-EXP(-(AS$4-Assumptions!$B$15+1)/Assumptions!$D$15))*AS$7*AS$8)</f>
        <v>18119.3958071781</v>
      </c>
      <c r="AT14" s="29" t="n">
        <f aca="false">IF(AT$4&lt;Assumptions!$B$15,0,Assumptions!$C$15*(1-EXP(-(AT$4-Assumptions!$B$15+1)/Assumptions!$D$15))*AT$7*AT$8)</f>
        <v>18493.6362553036</v>
      </c>
      <c r="AU14" s="29" t="n">
        <f aca="false">IF(AU$4&lt;Assumptions!$B$15,0,Assumptions!$C$15*(1-EXP(-(AU$4-Assumptions!$B$15+1)/Assumptions!$D$15))*AU$7*AU$8)</f>
        <v>18837.9540893299</v>
      </c>
      <c r="AV14" s="29" t="n">
        <f aca="false">IF(AV$4&lt;Assumptions!$B$15,0,Assumptions!$C$15*(1-EXP(-(AV$4-Assumptions!$B$15+1)/Assumptions!$D$15))*AV$7*AV$8)</f>
        <v>20162.8860940873</v>
      </c>
      <c r="AW14" s="29" t="n">
        <f aca="false">IF(AW$4&lt;Assumptions!$B$15,0,Assumptions!$C$15*(1-EXP(-(AW$4-Assumptions!$B$15+1)/Assumptions!$D$15))*AW$7*AW$8)</f>
        <v>20469.6847825686</v>
      </c>
      <c r="AX14" s="29" t="n">
        <f aca="false">IF(AX$4&lt;Assumptions!$B$15,0,Assumptions!$C$15*(1-EXP(-(AX$4-Assumptions!$B$15+1)/Assumptions!$D$15))*AX$7*AX$8)</f>
        <v>23864.7461826695</v>
      </c>
      <c r="AY14" s="29" t="n">
        <f aca="false">IF(AY$4&lt;Assumptions!$B$15,0,Assumptions!$C$15*(1-EXP(-(AY$4-Assumptions!$B$15+1)/Assumptions!$D$15))*AY$7*AY$8)</f>
        <v>19961.070051074</v>
      </c>
      <c r="AZ14" s="29" t="n">
        <f aca="false">IF(AZ$4&lt;Assumptions!$B$15,0,Assumptions!$C$15*(1-EXP(-(AZ$4-Assumptions!$B$15+1)/Assumptions!$D$15))*AZ$7*AZ$8)</f>
        <v>20188.0583569667</v>
      </c>
      <c r="BA14" s="29" t="n">
        <f aca="false">IF(BA$4&lt;Assumptions!$B$15,0,Assumptions!$C$15*(1-EXP(-(BA$4-Assumptions!$B$15+1)/Assumptions!$D$15))*BA$7*BA$8)</f>
        <v>21470.4186105153</v>
      </c>
      <c r="BB14" s="29" t="n">
        <f aca="false">IF(BB$4&lt;Assumptions!$B$15,0,Assumptions!$C$15*(1-EXP(-(BB$4-Assumptions!$B$15+1)/Assumptions!$D$15))*BB$7*BB$8)</f>
        <v>23839.9400483797</v>
      </c>
      <c r="BC14" s="29" t="n">
        <f aca="false">IF(BC$4&lt;Assumptions!$B$15,0,Assumptions!$C$15*(1-EXP(-(BC$4-Assumptions!$B$15+1)/Assumptions!$D$15))*BC$7*BC$8)</f>
        <v>21858.7555821778</v>
      </c>
      <c r="BD14" s="29" t="n">
        <f aca="false">IF(BD$4&lt;Assumptions!$B$15,0,Assumptions!$C$15*(1-EXP(-(BD$4-Assumptions!$B$15+1)/Assumptions!$D$15))*BD$7*BD$8)</f>
        <v>23131.4580346778</v>
      </c>
      <c r="BE14" s="29" t="n">
        <f aca="false">IF(BE$4&lt;Assumptions!$B$15,0,Assumptions!$C$15*(1-EXP(-(BE$4-Assumptions!$B$15+1)/Assumptions!$D$15))*BE$7*BE$8)</f>
        <v>21078.1019452</v>
      </c>
      <c r="BF14" s="29" t="n">
        <f aca="false">IF(BF$4&lt;Assumptions!$B$15,0,Assumptions!$C$15*(1-EXP(-(BF$4-Assumptions!$B$15+1)/Assumptions!$D$15))*BF$7*BF$8)</f>
        <v>21215.7773121201</v>
      </c>
      <c r="BG14" s="29" t="n">
        <f aca="false">IF(BG$4&lt;Assumptions!$B$15,0,Assumptions!$C$15*(1-EXP(-(BG$4-Assumptions!$B$15+1)/Assumptions!$D$15))*BG$7*BG$8)</f>
        <v>21342.4447644871</v>
      </c>
      <c r="BH14" s="29" t="n">
        <f aca="false">IF(BH$4&lt;Assumptions!$B$15,0,Assumptions!$C$15*(1-EXP(-(BH$4-Assumptions!$B$15+1)/Assumptions!$D$15))*BH$7*BH$8)</f>
        <v>22588.4046805817</v>
      </c>
      <c r="BI14" s="29" t="n">
        <f aca="false">IF(BI$4&lt;Assumptions!$B$15,0,Assumptions!$C$15*(1-EXP(-(BI$4-Assumptions!$B$15+1)/Assumptions!$D$15))*BI$7*BI$8)</f>
        <v>22701.2696106523</v>
      </c>
      <c r="BJ14" s="29" t="n">
        <f aca="false">IF(BJ$4&lt;Assumptions!$B$15,0,Assumptions!$C$15*(1-EXP(-(BJ$4-Assumptions!$B$15+1)/Assumptions!$D$15))*BJ$7*BJ$8)</f>
        <v>26225.876913047</v>
      </c>
    </row>
    <row r="15" customFormat="false" ht="15" hidden="false" customHeight="false" outlineLevel="0" collapsed="false">
      <c r="A15" s="28" t="str">
        <f aca="false">Assumptions!A16</f>
        <v>Regional: Guinea (Conakry)</v>
      </c>
      <c r="B15" s="16" t="s">
        <v>191</v>
      </c>
      <c r="C15" s="29" t="n">
        <f aca="false">IF(C$4&lt;Assumptions!$B$16,0,Assumptions!$C$16*(1-EXP(-(C$4-Assumptions!$B$16+1)/Assumptions!$D$16))*C$7*C$8)</f>
        <v>0</v>
      </c>
      <c r="D15" s="29" t="n">
        <f aca="false">IF(D$4&lt;Assumptions!$B$16,0,Assumptions!$C$16*(1-EXP(-(D$4-Assumptions!$B$16+1)/Assumptions!$D$16))*D$7*D$8)</f>
        <v>0</v>
      </c>
      <c r="E15" s="29" t="n">
        <f aca="false">IF(E$4&lt;Assumptions!$B$16,0,Assumptions!$C$16*(1-EXP(-(E$4-Assumptions!$B$16+1)/Assumptions!$D$16))*E$7*E$8)</f>
        <v>0</v>
      </c>
      <c r="F15" s="29" t="n">
        <f aca="false">IF(F$4&lt;Assumptions!$B$16,0,Assumptions!$C$16*(1-EXP(-(F$4-Assumptions!$B$16+1)/Assumptions!$D$16))*F$7*F$8)</f>
        <v>0</v>
      </c>
      <c r="G15" s="29" t="n">
        <f aca="false">IF(G$4&lt;Assumptions!$B$16,0,Assumptions!$C$16*(1-EXP(-(G$4-Assumptions!$B$16+1)/Assumptions!$D$16))*G$7*G$8)</f>
        <v>0</v>
      </c>
      <c r="H15" s="29" t="n">
        <f aca="false">IF(H$4&lt;Assumptions!$B$16,0,Assumptions!$C$16*(1-EXP(-(H$4-Assumptions!$B$16+1)/Assumptions!$D$16))*H$7*H$8)</f>
        <v>0</v>
      </c>
      <c r="I15" s="29" t="n">
        <f aca="false">IF(I$4&lt;Assumptions!$B$16,0,Assumptions!$C$16*(1-EXP(-(I$4-Assumptions!$B$16+1)/Assumptions!$D$16))*I$7*I$8)</f>
        <v>0</v>
      </c>
      <c r="J15" s="29" t="n">
        <f aca="false">IF(J$4&lt;Assumptions!$B$16,0,Assumptions!$C$16*(1-EXP(-(J$4-Assumptions!$B$16+1)/Assumptions!$D$16))*J$7*J$8)</f>
        <v>0</v>
      </c>
      <c r="K15" s="29" t="n">
        <f aca="false">IF(K$4&lt;Assumptions!$B$16,0,Assumptions!$C$16*(1-EXP(-(K$4-Assumptions!$B$16+1)/Assumptions!$D$16))*K$7*K$8)</f>
        <v>0</v>
      </c>
      <c r="L15" s="29" t="n">
        <f aca="false">IF(L$4&lt;Assumptions!$B$16,0,Assumptions!$C$16*(1-EXP(-(L$4-Assumptions!$B$16+1)/Assumptions!$D$16))*L$7*L$8)</f>
        <v>0</v>
      </c>
      <c r="M15" s="29" t="n">
        <f aca="false">IF(M$4&lt;Assumptions!$B$16,0,Assumptions!$C$16*(1-EXP(-(M$4-Assumptions!$B$16+1)/Assumptions!$D$16))*M$7*M$8)</f>
        <v>0</v>
      </c>
      <c r="N15" s="29" t="n">
        <f aca="false">IF(N$4&lt;Assumptions!$B$16,0,Assumptions!$C$16*(1-EXP(-(N$4-Assumptions!$B$16+1)/Assumptions!$D$16))*N$7*N$8)</f>
        <v>0</v>
      </c>
      <c r="O15" s="29" t="n">
        <f aca="false">IF(O$4&lt;Assumptions!$B$16,0,Assumptions!$C$16*(1-EXP(-(O$4-Assumptions!$B$16+1)/Assumptions!$D$16))*O$7*O$8)</f>
        <v>0</v>
      </c>
      <c r="P15" s="29" t="n">
        <f aca="false">IF(P$4&lt;Assumptions!$B$16,0,Assumptions!$C$16*(1-EXP(-(P$4-Assumptions!$B$16+1)/Assumptions!$D$16))*P$7*P$8)</f>
        <v>0</v>
      </c>
      <c r="Q15" s="29" t="n">
        <f aca="false">IF(Q$4&lt;Assumptions!$B$16,0,Assumptions!$C$16*(1-EXP(-(Q$4-Assumptions!$B$16+1)/Assumptions!$D$16))*Q$7*Q$8)</f>
        <v>0</v>
      </c>
      <c r="R15" s="29" t="n">
        <f aca="false">IF(R$4&lt;Assumptions!$B$16,0,Assumptions!$C$16*(1-EXP(-(R$4-Assumptions!$B$16+1)/Assumptions!$D$16))*R$7*R$8)</f>
        <v>0</v>
      </c>
      <c r="S15" s="29" t="n">
        <f aca="false">IF(S$4&lt;Assumptions!$B$16,0,Assumptions!$C$16*(1-EXP(-(S$4-Assumptions!$B$16+1)/Assumptions!$D$16))*S$7*S$8)</f>
        <v>0</v>
      </c>
      <c r="T15" s="29" t="n">
        <f aca="false">IF(T$4&lt;Assumptions!$B$16,0,Assumptions!$C$16*(1-EXP(-(T$4-Assumptions!$B$16+1)/Assumptions!$D$16))*T$7*T$8)</f>
        <v>0</v>
      </c>
      <c r="U15" s="29" t="n">
        <f aca="false">IF(U$4&lt;Assumptions!$B$16,0,Assumptions!$C$16*(1-EXP(-(U$4-Assumptions!$B$16+1)/Assumptions!$D$16))*U$7*U$8)</f>
        <v>0</v>
      </c>
      <c r="V15" s="29" t="n">
        <f aca="false">IF(V$4&lt;Assumptions!$B$16,0,Assumptions!$C$16*(1-EXP(-(V$4-Assumptions!$B$16+1)/Assumptions!$D$16))*V$7*V$8)</f>
        <v>0</v>
      </c>
      <c r="W15" s="29" t="n">
        <f aca="false">IF(W$4&lt;Assumptions!$B$16,0,Assumptions!$C$16*(1-EXP(-(W$4-Assumptions!$B$16+1)/Assumptions!$D$16))*W$7*W$8)</f>
        <v>0</v>
      </c>
      <c r="X15" s="29" t="n">
        <f aca="false">IF(X$4&lt;Assumptions!$B$16,0,Assumptions!$C$16*(1-EXP(-(X$4-Assumptions!$B$16+1)/Assumptions!$D$16))*X$7*X$8)</f>
        <v>0</v>
      </c>
      <c r="Y15" s="29" t="n">
        <f aca="false">IF(Y$4&lt;Assumptions!$B$16,0,Assumptions!$C$16*(1-EXP(-(Y$4-Assumptions!$B$16+1)/Assumptions!$D$16))*Y$7*Y$8)</f>
        <v>0</v>
      </c>
      <c r="Z15" s="29" t="n">
        <f aca="false">IF(Z$4&lt;Assumptions!$B$16,0,Assumptions!$C$16*(1-EXP(-(Z$4-Assumptions!$B$16+1)/Assumptions!$D$16))*Z$7*Z$8)</f>
        <v>0</v>
      </c>
      <c r="AA15" s="29" t="n">
        <f aca="false">IF(AA$4&lt;Assumptions!$B$16,0,Assumptions!$C$16*(1-EXP(-(AA$4-Assumptions!$B$16+1)/Assumptions!$D$16))*AA$7*AA$8)</f>
        <v>0</v>
      </c>
      <c r="AB15" s="29" t="n">
        <f aca="false">IF(AB$4&lt;Assumptions!$B$16,0,Assumptions!$C$16*(1-EXP(-(AB$4-Assumptions!$B$16+1)/Assumptions!$D$16))*AB$7*AB$8)</f>
        <v>0</v>
      </c>
      <c r="AC15" s="29" t="n">
        <f aca="false">IF(AC$4&lt;Assumptions!$B$16,0,Assumptions!$C$16*(1-EXP(-(AC$4-Assumptions!$B$16+1)/Assumptions!$D$16))*AC$7*AC$8)</f>
        <v>0</v>
      </c>
      <c r="AD15" s="29" t="n">
        <f aca="false">IF(AD$4&lt;Assumptions!$B$16,0,Assumptions!$C$16*(1-EXP(-(AD$4-Assumptions!$B$16+1)/Assumptions!$D$16))*AD$7*AD$8)</f>
        <v>0</v>
      </c>
      <c r="AE15" s="29" t="n">
        <f aca="false">IF(AE$4&lt;Assumptions!$B$16,0,Assumptions!$C$16*(1-EXP(-(AE$4-Assumptions!$B$16+1)/Assumptions!$D$16))*AE$7*AE$8)</f>
        <v>0</v>
      </c>
      <c r="AF15" s="29" t="n">
        <f aca="false">IF(AF$4&lt;Assumptions!$B$16,0,Assumptions!$C$16*(1-EXP(-(AF$4-Assumptions!$B$16+1)/Assumptions!$D$16))*AF$7*AF$8)</f>
        <v>0</v>
      </c>
      <c r="AG15" s="29" t="n">
        <f aca="false">IF(AG$4&lt;Assumptions!$B$16,0,Assumptions!$C$16*(1-EXP(-(AG$4-Assumptions!$B$16+1)/Assumptions!$D$16))*AG$7*AG$8)</f>
        <v>759.578061021429</v>
      </c>
      <c r="AH15" s="29" t="n">
        <f aca="false">IF(AH$4&lt;Assumptions!$B$16,0,Assumptions!$C$16*(1-EXP(-(AH$4-Assumptions!$B$16+1)/Assumptions!$D$16))*AH$7*AH$8)</f>
        <v>1458.42361353917</v>
      </c>
      <c r="AI15" s="29" t="n">
        <f aca="false">IF(AI$4&lt;Assumptions!$B$16,0,Assumptions!$C$16*(1-EXP(-(AI$4-Assumptions!$B$16+1)/Assumptions!$D$16))*AI$7*AI$8)</f>
        <v>2101.39256082165</v>
      </c>
      <c r="AJ15" s="29" t="n">
        <f aca="false">IF(AJ$4&lt;Assumptions!$B$16,0,Assumptions!$C$16*(1-EXP(-(AJ$4-Assumptions!$B$16+1)/Assumptions!$D$16))*AJ$7*AJ$8)</f>
        <v>2834.68689426211</v>
      </c>
      <c r="AK15" s="29" t="n">
        <f aca="false">IF(AK$4&lt;Assumptions!$B$16,0,Assumptions!$C$16*(1-EXP(-(AK$4-Assumptions!$B$16+1)/Assumptions!$D$16))*AK$7*AK$8)</f>
        <v>3407.59369799556</v>
      </c>
      <c r="AL15" s="29" t="n">
        <f aca="false">IF(AL$4&lt;Assumptions!$B$16,0,Assumptions!$C$16*(1-EXP(-(AL$4-Assumptions!$B$16+1)/Assumptions!$D$16))*AL$7*AL$8)</f>
        <v>4524.89741330472</v>
      </c>
      <c r="AM15" s="29" t="n">
        <f aca="false">IF(AM$4&lt;Assumptions!$B$16,0,Assumptions!$C$16*(1-EXP(-(AM$4-Assumptions!$B$16+1)/Assumptions!$D$16))*AM$7*AM$8)</f>
        <v>4198.66611518455</v>
      </c>
      <c r="AN15" s="29" t="n">
        <f aca="false">IF(AN$4&lt;Assumptions!$B$16,0,Assumptions!$C$16*(1-EXP(-(AN$4-Assumptions!$B$16+1)/Assumptions!$D$16))*AN$7*AN$8)</f>
        <v>4622.53736919038</v>
      </c>
      <c r="AO15" s="29" t="n">
        <f aca="false">IF(AO$4&lt;Assumptions!$B$16,0,Assumptions!$C$16*(1-EXP(-(AO$4-Assumptions!$B$16+1)/Assumptions!$D$16))*AO$7*AO$8)</f>
        <v>5276.33447258985</v>
      </c>
      <c r="AP15" s="29" t="n">
        <f aca="false">IF(AP$4&lt;Assumptions!$B$16,0,Assumptions!$C$16*(1-EXP(-(AP$4-Assumptions!$B$16+1)/Assumptions!$D$16))*AP$7*AP$8)</f>
        <v>6219.41970642214</v>
      </c>
      <c r="AQ15" s="29" t="n">
        <f aca="false">IF(AQ$4&lt;Assumptions!$B$16,0,Assumptions!$C$16*(1-EXP(-(AQ$4-Assumptions!$B$16+1)/Assumptions!$D$16))*AQ$7*AQ$8)</f>
        <v>6001.50345655153</v>
      </c>
      <c r="AR15" s="29" t="n">
        <f aca="false">IF(AR$4&lt;Assumptions!$B$16,0,Assumptions!$C$16*(1-EXP(-(AR$4-Assumptions!$B$16+1)/Assumptions!$D$16))*AR$7*AR$8)</f>
        <v>6637.26586769986</v>
      </c>
      <c r="AS15" s="29" t="n">
        <f aca="false">IF(AS$4&lt;Assumptions!$B$16,0,Assumptions!$C$16*(1-EXP(-(AS$4-Assumptions!$B$16+1)/Assumptions!$D$16))*AS$7*AS$8)</f>
        <v>6284.57846148595</v>
      </c>
      <c r="AT15" s="29" t="n">
        <f aca="false">IF(AT$4&lt;Assumptions!$B$16,0,Assumptions!$C$16*(1-EXP(-(AT$4-Assumptions!$B$16+1)/Assumptions!$D$16))*AT$7*AT$8)</f>
        <v>6541.66937281132</v>
      </c>
      <c r="AU15" s="29" t="n">
        <f aca="false">IF(AU$4&lt;Assumptions!$B$16,0,Assumptions!$C$16*(1-EXP(-(AU$4-Assumptions!$B$16+1)/Assumptions!$D$16))*AU$7*AU$8)</f>
        <v>6778.20442982819</v>
      </c>
      <c r="AV15" s="29" t="n">
        <f aca="false">IF(AV$4&lt;Assumptions!$B$16,0,Assumptions!$C$16*(1-EXP(-(AV$4-Assumptions!$B$16+1)/Assumptions!$D$16))*AV$7*AV$8)</f>
        <v>7364.02861884273</v>
      </c>
      <c r="AW15" s="29" t="n">
        <f aca="false">IF(AW$4&lt;Assumptions!$B$16,0,Assumptions!$C$16*(1-EXP(-(AW$4-Assumptions!$B$16+1)/Assumptions!$D$16))*AW$7*AW$8)</f>
        <v>7574.78925364351</v>
      </c>
      <c r="AX15" s="29" t="n">
        <f aca="false">IF(AX$4&lt;Assumptions!$B$16,0,Assumptions!$C$16*(1-EXP(-(AX$4-Assumptions!$B$16+1)/Assumptions!$D$16))*AX$7*AX$8)</f>
        <v>8934.00315829306</v>
      </c>
      <c r="AY15" s="29" t="n">
        <f aca="false">IF(AY$4&lt;Assumptions!$B$16,0,Assumptions!$C$16*(1-EXP(-(AY$4-Assumptions!$B$16+1)/Assumptions!$D$16))*AY$7*AY$8)</f>
        <v>7549.74825299086</v>
      </c>
      <c r="AZ15" s="29" t="n">
        <f aca="false">IF(AZ$4&lt;Assumptions!$B$16,0,Assumptions!$C$16*(1-EXP(-(AZ$4-Assumptions!$B$16+1)/Assumptions!$D$16))*AZ$7*AZ$8)</f>
        <v>7705.68177304316</v>
      </c>
      <c r="BA15" s="29" t="n">
        <f aca="false">IF(BA$4&lt;Assumptions!$B$16,0,Assumptions!$C$16*(1-EXP(-(BA$4-Assumptions!$B$16+1)/Assumptions!$D$16))*BA$7*BA$8)</f>
        <v>8262.26056549555</v>
      </c>
      <c r="BB15" s="29" t="n">
        <f aca="false">IF(BB$4&lt;Assumptions!$B$16,0,Assumptions!$C$16*(1-EXP(-(BB$4-Assumptions!$B$16+1)/Assumptions!$D$16))*BB$7*BB$8)</f>
        <v>9241.32279312337</v>
      </c>
      <c r="BC15" s="29" t="n">
        <f aca="false">IF(BC$4&lt;Assumptions!$B$16,0,Assumptions!$C$16*(1-EXP(-(BC$4-Assumptions!$B$16+1)/Assumptions!$D$16))*BC$7*BC$8)</f>
        <v>8529.03532607023</v>
      </c>
      <c r="BD15" s="29" t="n">
        <f aca="false">IF(BD$4&lt;Assumptions!$B$16,0,Assumptions!$C$16*(1-EXP(-(BD$4-Assumptions!$B$16+1)/Assumptions!$D$16))*BD$7*BD$8)</f>
        <v>9078.97952601557</v>
      </c>
      <c r="BE15" s="29" t="n">
        <f aca="false">IF(BE$4&lt;Assumptions!$B$16,0,Assumptions!$C$16*(1-EXP(-(BE$4-Assumptions!$B$16+1)/Assumptions!$D$16))*BE$7*BE$8)</f>
        <v>8317.11252128083</v>
      </c>
      <c r="BF15" s="29" t="n">
        <f aca="false">IF(BF$4&lt;Assumptions!$B$16,0,Assumptions!$C$16*(1-EXP(-(BF$4-Assumptions!$B$16+1)/Assumptions!$D$16))*BF$7*BF$8)</f>
        <v>8411.69098206947</v>
      </c>
      <c r="BG15" s="29" t="n">
        <f aca="false">IF(BG$4&lt;Assumptions!$B$16,0,Assumptions!$C$16*(1-EXP(-(BG$4-Assumptions!$B$16+1)/Assumptions!$D$16))*BG$7*BG$8)</f>
        <v>8498.70736666229</v>
      </c>
      <c r="BH15" s="29" t="n">
        <f aca="false">IF(BH$4&lt;Assumptions!$B$16,0,Assumptions!$C$16*(1-EXP(-(BH$4-Assumptions!$B$16+1)/Assumptions!$D$16))*BH$7*BH$8)</f>
        <v>9030.28032135595</v>
      </c>
      <c r="BI15" s="29" t="n">
        <f aca="false">IF(BI$4&lt;Assumptions!$B$16,0,Assumptions!$C$16*(1-EXP(-(BI$4-Assumptions!$B$16+1)/Assumptions!$D$16))*BI$7*BI$8)</f>
        <v>9107.8148259074</v>
      </c>
      <c r="BJ15" s="29" t="n">
        <f aca="false">IF(BJ$4&lt;Assumptions!$B$16,0,Assumptions!$C$16*(1-EXP(-(BJ$4-Assumptions!$B$16+1)/Assumptions!$D$16))*BJ$7*BJ$8)</f>
        <v>10556.0225158252</v>
      </c>
    </row>
    <row r="16" customFormat="false" ht="15" hidden="false" customHeight="false" outlineLevel="0" collapsed="false">
      <c r="A16" s="28" t="str">
        <f aca="false">Assumptions!A17</f>
        <v>Regional: Guinea-Bissau (Bissau)</v>
      </c>
      <c r="B16" s="16" t="s">
        <v>191</v>
      </c>
      <c r="C16" s="29" t="n">
        <f aca="false">IF(C$4&lt;Assumptions!$B$17,0,Assumptions!$C$17*(1-EXP(-(C$4-Assumptions!$B$17+1)/Assumptions!$D$17))*C$7*C$8)</f>
        <v>0</v>
      </c>
      <c r="D16" s="29" t="n">
        <f aca="false">IF(D$4&lt;Assumptions!$B$17,0,Assumptions!$C$17*(1-EXP(-(D$4-Assumptions!$B$17+1)/Assumptions!$D$17))*D$7*D$8)</f>
        <v>0</v>
      </c>
      <c r="E16" s="29" t="n">
        <f aca="false">IF(E$4&lt;Assumptions!$B$17,0,Assumptions!$C$17*(1-EXP(-(E$4-Assumptions!$B$17+1)/Assumptions!$D$17))*E$7*E$8)</f>
        <v>0</v>
      </c>
      <c r="F16" s="29" t="n">
        <f aca="false">IF(F$4&lt;Assumptions!$B$17,0,Assumptions!$C$17*(1-EXP(-(F$4-Assumptions!$B$17+1)/Assumptions!$D$17))*F$7*F$8)</f>
        <v>0</v>
      </c>
      <c r="G16" s="29" t="n">
        <f aca="false">IF(G$4&lt;Assumptions!$B$17,0,Assumptions!$C$17*(1-EXP(-(G$4-Assumptions!$B$17+1)/Assumptions!$D$17))*G$7*G$8)</f>
        <v>0</v>
      </c>
      <c r="H16" s="29" t="n">
        <f aca="false">IF(H$4&lt;Assumptions!$B$17,0,Assumptions!$C$17*(1-EXP(-(H$4-Assumptions!$B$17+1)/Assumptions!$D$17))*H$7*H$8)</f>
        <v>0</v>
      </c>
      <c r="I16" s="29" t="n">
        <f aca="false">IF(I$4&lt;Assumptions!$B$17,0,Assumptions!$C$17*(1-EXP(-(I$4-Assumptions!$B$17+1)/Assumptions!$D$17))*I$7*I$8)</f>
        <v>0</v>
      </c>
      <c r="J16" s="29" t="n">
        <f aca="false">IF(J$4&lt;Assumptions!$B$17,0,Assumptions!$C$17*(1-EXP(-(J$4-Assumptions!$B$17+1)/Assumptions!$D$17))*J$7*J$8)</f>
        <v>0</v>
      </c>
      <c r="K16" s="29" t="n">
        <f aca="false">IF(K$4&lt;Assumptions!$B$17,0,Assumptions!$C$17*(1-EXP(-(K$4-Assumptions!$B$17+1)/Assumptions!$D$17))*K$7*K$8)</f>
        <v>0</v>
      </c>
      <c r="L16" s="29" t="n">
        <f aca="false">IF(L$4&lt;Assumptions!$B$17,0,Assumptions!$C$17*(1-EXP(-(L$4-Assumptions!$B$17+1)/Assumptions!$D$17))*L$7*L$8)</f>
        <v>0</v>
      </c>
      <c r="M16" s="29" t="n">
        <f aca="false">IF(M$4&lt;Assumptions!$B$17,0,Assumptions!$C$17*(1-EXP(-(M$4-Assumptions!$B$17+1)/Assumptions!$D$17))*M$7*M$8)</f>
        <v>0</v>
      </c>
      <c r="N16" s="29" t="n">
        <f aca="false">IF(N$4&lt;Assumptions!$B$17,0,Assumptions!$C$17*(1-EXP(-(N$4-Assumptions!$B$17+1)/Assumptions!$D$17))*N$7*N$8)</f>
        <v>0</v>
      </c>
      <c r="O16" s="29" t="n">
        <f aca="false">IF(O$4&lt;Assumptions!$B$17,0,Assumptions!$C$17*(1-EXP(-(O$4-Assumptions!$B$17+1)/Assumptions!$D$17))*O$7*O$8)</f>
        <v>0</v>
      </c>
      <c r="P16" s="29" t="n">
        <f aca="false">IF(P$4&lt;Assumptions!$B$17,0,Assumptions!$C$17*(1-EXP(-(P$4-Assumptions!$B$17+1)/Assumptions!$D$17))*P$7*P$8)</f>
        <v>0</v>
      </c>
      <c r="Q16" s="29" t="n">
        <f aca="false">IF(Q$4&lt;Assumptions!$B$17,0,Assumptions!$C$17*(1-EXP(-(Q$4-Assumptions!$B$17+1)/Assumptions!$D$17))*Q$7*Q$8)</f>
        <v>0</v>
      </c>
      <c r="R16" s="29" t="n">
        <f aca="false">IF(R$4&lt;Assumptions!$B$17,0,Assumptions!$C$17*(1-EXP(-(R$4-Assumptions!$B$17+1)/Assumptions!$D$17))*R$7*R$8)</f>
        <v>0</v>
      </c>
      <c r="S16" s="29" t="n">
        <f aca="false">IF(S$4&lt;Assumptions!$B$17,0,Assumptions!$C$17*(1-EXP(-(S$4-Assumptions!$B$17+1)/Assumptions!$D$17))*S$7*S$8)</f>
        <v>0</v>
      </c>
      <c r="T16" s="29" t="n">
        <f aca="false">IF(T$4&lt;Assumptions!$B$17,0,Assumptions!$C$17*(1-EXP(-(T$4-Assumptions!$B$17+1)/Assumptions!$D$17))*T$7*T$8)</f>
        <v>0</v>
      </c>
      <c r="U16" s="29" t="n">
        <f aca="false">IF(U$4&lt;Assumptions!$B$17,0,Assumptions!$C$17*(1-EXP(-(U$4-Assumptions!$B$17+1)/Assumptions!$D$17))*U$7*U$8)</f>
        <v>0</v>
      </c>
      <c r="V16" s="29" t="n">
        <f aca="false">IF(V$4&lt;Assumptions!$B$17,0,Assumptions!$C$17*(1-EXP(-(V$4-Assumptions!$B$17+1)/Assumptions!$D$17))*V$7*V$8)</f>
        <v>0</v>
      </c>
      <c r="W16" s="29" t="n">
        <f aca="false">IF(W$4&lt;Assumptions!$B$17,0,Assumptions!$C$17*(1-EXP(-(W$4-Assumptions!$B$17+1)/Assumptions!$D$17))*W$7*W$8)</f>
        <v>0</v>
      </c>
      <c r="X16" s="29" t="n">
        <f aca="false">IF(X$4&lt;Assumptions!$B$17,0,Assumptions!$C$17*(1-EXP(-(X$4-Assumptions!$B$17+1)/Assumptions!$D$17))*X$7*X$8)</f>
        <v>0</v>
      </c>
      <c r="Y16" s="29" t="n">
        <f aca="false">IF(Y$4&lt;Assumptions!$B$17,0,Assumptions!$C$17*(1-EXP(-(Y$4-Assumptions!$B$17+1)/Assumptions!$D$17))*Y$7*Y$8)</f>
        <v>0</v>
      </c>
      <c r="Z16" s="29" t="n">
        <f aca="false">IF(Z$4&lt;Assumptions!$B$17,0,Assumptions!$C$17*(1-EXP(-(Z$4-Assumptions!$B$17+1)/Assumptions!$D$17))*Z$7*Z$8)</f>
        <v>0</v>
      </c>
      <c r="AA16" s="29" t="n">
        <f aca="false">IF(AA$4&lt;Assumptions!$B$17,0,Assumptions!$C$17*(1-EXP(-(AA$4-Assumptions!$B$17+1)/Assumptions!$D$17))*AA$7*AA$8)</f>
        <v>0</v>
      </c>
      <c r="AB16" s="29" t="n">
        <f aca="false">IF(AB$4&lt;Assumptions!$B$17,0,Assumptions!$C$17*(1-EXP(-(AB$4-Assumptions!$B$17+1)/Assumptions!$D$17))*AB$7*AB$8)</f>
        <v>0</v>
      </c>
      <c r="AC16" s="29" t="n">
        <f aca="false">IF(AC$4&lt;Assumptions!$B$17,0,Assumptions!$C$17*(1-EXP(-(AC$4-Assumptions!$B$17+1)/Assumptions!$D$17))*AC$7*AC$8)</f>
        <v>0</v>
      </c>
      <c r="AD16" s="29" t="n">
        <f aca="false">IF(AD$4&lt;Assumptions!$B$17,0,Assumptions!$C$17*(1-EXP(-(AD$4-Assumptions!$B$17+1)/Assumptions!$D$17))*AD$7*AD$8)</f>
        <v>0</v>
      </c>
      <c r="AE16" s="29" t="n">
        <f aca="false">IF(AE$4&lt;Assumptions!$B$17,0,Assumptions!$C$17*(1-EXP(-(AE$4-Assumptions!$B$17+1)/Assumptions!$D$17))*AE$7*AE$8)</f>
        <v>0</v>
      </c>
      <c r="AF16" s="29" t="n">
        <f aca="false">IF(AF$4&lt;Assumptions!$B$17,0,Assumptions!$C$17*(1-EXP(-(AF$4-Assumptions!$B$17+1)/Assumptions!$D$17))*AF$7*AF$8)</f>
        <v>0</v>
      </c>
      <c r="AG16" s="29" t="n">
        <f aca="false">IF(AG$4&lt;Assumptions!$B$17,0,Assumptions!$C$17*(1-EXP(-(AG$4-Assumptions!$B$17+1)/Assumptions!$D$17))*AG$7*AG$8)</f>
        <v>531.704642715</v>
      </c>
      <c r="AH16" s="29" t="n">
        <f aca="false">IF(AH$4&lt;Assumptions!$B$17,0,Assumptions!$C$17*(1-EXP(-(AH$4-Assumptions!$B$17+1)/Assumptions!$D$17))*AH$7*AH$8)</f>
        <v>1020.89652947742</v>
      </c>
      <c r="AI16" s="29" t="n">
        <f aca="false">IF(AI$4&lt;Assumptions!$B$17,0,Assumptions!$C$17*(1-EXP(-(AI$4-Assumptions!$B$17+1)/Assumptions!$D$17))*AI$7*AI$8)</f>
        <v>1470.97479257516</v>
      </c>
      <c r="AJ16" s="29" t="n">
        <f aca="false">IF(AJ$4&lt;Assumptions!$B$17,0,Assumptions!$C$17*(1-EXP(-(AJ$4-Assumptions!$B$17+1)/Assumptions!$D$17))*AJ$7*AJ$8)</f>
        <v>1984.28082598348</v>
      </c>
      <c r="AK16" s="29" t="n">
        <f aca="false">IF(AK$4&lt;Assumptions!$B$17,0,Assumptions!$C$17*(1-EXP(-(AK$4-Assumptions!$B$17+1)/Assumptions!$D$17))*AK$7*AK$8)</f>
        <v>2385.31558859689</v>
      </c>
      <c r="AL16" s="29" t="n">
        <f aca="false">IF(AL$4&lt;Assumptions!$B$17,0,Assumptions!$C$17*(1-EXP(-(AL$4-Assumptions!$B$17+1)/Assumptions!$D$17))*AL$7*AL$8)</f>
        <v>3167.4281893133</v>
      </c>
      <c r="AM16" s="29" t="n">
        <f aca="false">IF(AM$4&lt;Assumptions!$B$17,0,Assumptions!$C$17*(1-EXP(-(AM$4-Assumptions!$B$17+1)/Assumptions!$D$17))*AM$7*AM$8)</f>
        <v>2939.06628062919</v>
      </c>
      <c r="AN16" s="29" t="n">
        <f aca="false">IF(AN$4&lt;Assumptions!$B$17,0,Assumptions!$C$17*(1-EXP(-(AN$4-Assumptions!$B$17+1)/Assumptions!$D$17))*AN$7*AN$8)</f>
        <v>3235.77615843326</v>
      </c>
      <c r="AO16" s="29" t="n">
        <f aca="false">IF(AO$4&lt;Assumptions!$B$17,0,Assumptions!$C$17*(1-EXP(-(AO$4-Assumptions!$B$17+1)/Assumptions!$D$17))*AO$7*AO$8)</f>
        <v>3693.4341308129</v>
      </c>
      <c r="AP16" s="29" t="n">
        <f aca="false">IF(AP$4&lt;Assumptions!$B$17,0,Assumptions!$C$17*(1-EXP(-(AP$4-Assumptions!$B$17+1)/Assumptions!$D$17))*AP$7*AP$8)</f>
        <v>4353.5937944955</v>
      </c>
      <c r="AQ16" s="29" t="n">
        <f aca="false">IF(AQ$4&lt;Assumptions!$B$17,0,Assumptions!$C$17*(1-EXP(-(AQ$4-Assumptions!$B$17+1)/Assumptions!$D$17))*AQ$7*AQ$8)</f>
        <v>4201.05241958607</v>
      </c>
      <c r="AR16" s="29" t="n">
        <f aca="false">IF(AR$4&lt;Assumptions!$B$17,0,Assumptions!$C$17*(1-EXP(-(AR$4-Assumptions!$B$17+1)/Assumptions!$D$17))*AR$7*AR$8)</f>
        <v>4646.0861073899</v>
      </c>
      <c r="AS16" s="29" t="n">
        <f aca="false">IF(AS$4&lt;Assumptions!$B$17,0,Assumptions!$C$17*(1-EXP(-(AS$4-Assumptions!$B$17+1)/Assumptions!$D$17))*AS$7*AS$8)</f>
        <v>4399.20492304016</v>
      </c>
      <c r="AT16" s="29" t="n">
        <f aca="false">IF(AT$4&lt;Assumptions!$B$17,0,Assumptions!$C$17*(1-EXP(-(AT$4-Assumptions!$B$17+1)/Assumptions!$D$17))*AT$7*AT$8)</f>
        <v>4579.16856096793</v>
      </c>
      <c r="AU16" s="29" t="n">
        <f aca="false">IF(AU$4&lt;Assumptions!$B$17,0,Assumptions!$C$17*(1-EXP(-(AU$4-Assumptions!$B$17+1)/Assumptions!$D$17))*AU$7*AU$8)</f>
        <v>4744.74310087974</v>
      </c>
      <c r="AV16" s="29" t="n">
        <f aca="false">IF(AV$4&lt;Assumptions!$B$17,0,Assumptions!$C$17*(1-EXP(-(AV$4-Assumptions!$B$17+1)/Assumptions!$D$17))*AV$7*AV$8)</f>
        <v>5154.82003318991</v>
      </c>
      <c r="AW16" s="29" t="n">
        <f aca="false">IF(AW$4&lt;Assumptions!$B$17,0,Assumptions!$C$17*(1-EXP(-(AW$4-Assumptions!$B$17+1)/Assumptions!$D$17))*AW$7*AW$8)</f>
        <v>5302.35247755046</v>
      </c>
      <c r="AX16" s="29" t="n">
        <f aca="false">IF(AX$4&lt;Assumptions!$B$17,0,Assumptions!$C$17*(1-EXP(-(AX$4-Assumptions!$B$17+1)/Assumptions!$D$17))*AX$7*AX$8)</f>
        <v>6253.80221080514</v>
      </c>
      <c r="AY16" s="29" t="n">
        <f aca="false">IF(AY$4&lt;Assumptions!$B$17,0,Assumptions!$C$17*(1-EXP(-(AY$4-Assumptions!$B$17+1)/Assumptions!$D$17))*AY$7*AY$8)</f>
        <v>5284.8237770936</v>
      </c>
      <c r="AZ16" s="29" t="n">
        <f aca="false">IF(AZ$4&lt;Assumptions!$B$17,0,Assumptions!$C$17*(1-EXP(-(AZ$4-Assumptions!$B$17+1)/Assumptions!$D$17))*AZ$7*AZ$8)</f>
        <v>5393.97724113021</v>
      </c>
      <c r="BA16" s="29" t="n">
        <f aca="false">IF(BA$4&lt;Assumptions!$B$17,0,Assumptions!$C$17*(1-EXP(-(BA$4-Assumptions!$B$17+1)/Assumptions!$D$17))*BA$7*BA$8)</f>
        <v>5783.58239584688</v>
      </c>
      <c r="BB16" s="29" t="n">
        <f aca="false">IF(BB$4&lt;Assumptions!$B$17,0,Assumptions!$C$17*(1-EXP(-(BB$4-Assumptions!$B$17+1)/Assumptions!$D$17))*BB$7*BB$8)</f>
        <v>6468.92595518636</v>
      </c>
      <c r="BC16" s="29" t="n">
        <f aca="false">IF(BC$4&lt;Assumptions!$B$17,0,Assumptions!$C$17*(1-EXP(-(BC$4-Assumptions!$B$17+1)/Assumptions!$D$17))*BC$7*BC$8)</f>
        <v>5970.32472824916</v>
      </c>
      <c r="BD16" s="29" t="n">
        <f aca="false">IF(BD$4&lt;Assumptions!$B$17,0,Assumptions!$C$17*(1-EXP(-(BD$4-Assumptions!$B$17+1)/Assumptions!$D$17))*BD$7*BD$8)</f>
        <v>6355.2856682109</v>
      </c>
      <c r="BE16" s="29" t="n">
        <f aca="false">IF(BE$4&lt;Assumptions!$B$17,0,Assumptions!$C$17*(1-EXP(-(BE$4-Assumptions!$B$17+1)/Assumptions!$D$17))*BE$7*BE$8)</f>
        <v>5821.97876489658</v>
      </c>
      <c r="BF16" s="29" t="n">
        <f aca="false">IF(BF$4&lt;Assumptions!$B$17,0,Assumptions!$C$17*(1-EXP(-(BF$4-Assumptions!$B$17+1)/Assumptions!$D$17))*BF$7*BF$8)</f>
        <v>5888.18368744863</v>
      </c>
      <c r="BG16" s="29" t="n">
        <f aca="false">IF(BG$4&lt;Assumptions!$B$17,0,Assumptions!$C$17*(1-EXP(-(BG$4-Assumptions!$B$17+1)/Assumptions!$D$17))*BG$7*BG$8)</f>
        <v>5949.0951566636</v>
      </c>
      <c r="BH16" s="29" t="n">
        <f aca="false">IF(BH$4&lt;Assumptions!$B$17,0,Assumptions!$C$17*(1-EXP(-(BH$4-Assumptions!$B$17+1)/Assumptions!$D$17))*BH$7*BH$8)</f>
        <v>6321.19622494916</v>
      </c>
      <c r="BI16" s="29" t="n">
        <f aca="false">IF(BI$4&lt;Assumptions!$B$17,0,Assumptions!$C$17*(1-EXP(-(BI$4-Assumptions!$B$17+1)/Assumptions!$D$17))*BI$7*BI$8)</f>
        <v>6375.47037813518</v>
      </c>
      <c r="BJ16" s="29" t="n">
        <f aca="false">IF(BJ$4&lt;Assumptions!$B$17,0,Assumptions!$C$17*(1-EXP(-(BJ$4-Assumptions!$B$17+1)/Assumptions!$D$17))*BJ$7*BJ$8)</f>
        <v>7389.21576107761</v>
      </c>
    </row>
    <row r="17" customFormat="false" ht="15" hidden="false" customHeight="false" outlineLevel="0" collapsed="false">
      <c r="A17" s="4" t="s">
        <v>192</v>
      </c>
      <c r="B17" s="16" t="s">
        <v>191</v>
      </c>
      <c r="C17" s="30" t="n">
        <f aca="false">SUM(C11:C16)</f>
        <v>0</v>
      </c>
      <c r="D17" s="30" t="n">
        <f aca="false">SUM(D11:D16)</f>
        <v>0</v>
      </c>
      <c r="E17" s="30" t="n">
        <f aca="false">SUM(E11:E16)</f>
        <v>0</v>
      </c>
      <c r="F17" s="30" t="n">
        <f aca="false">SUM(F11:F16)</f>
        <v>0</v>
      </c>
      <c r="G17" s="30" t="n">
        <f aca="false">SUM(G11:G16)</f>
        <v>0</v>
      </c>
      <c r="H17" s="30" t="n">
        <f aca="false">SUM(H11:H16)</f>
        <v>0</v>
      </c>
      <c r="I17" s="30" t="n">
        <f aca="false">SUM(I11:I16)</f>
        <v>0</v>
      </c>
      <c r="J17" s="30" t="n">
        <f aca="false">SUM(J11:J16)</f>
        <v>0</v>
      </c>
      <c r="K17" s="30" t="n">
        <f aca="false">SUM(K11:K16)</f>
        <v>0</v>
      </c>
      <c r="L17" s="30" t="n">
        <f aca="false">SUM(L11:L16)</f>
        <v>0</v>
      </c>
      <c r="M17" s="30" t="n">
        <f aca="false">SUM(M11:M16)</f>
        <v>1599.11170741353</v>
      </c>
      <c r="N17" s="30" t="n">
        <f aca="false">SUM(N11:N16)</f>
        <v>3530.92032751587</v>
      </c>
      <c r="O17" s="30" t="n">
        <f aca="false">SUM(O11:O16)</f>
        <v>4202.78512164331</v>
      </c>
      <c r="P17" s="30" t="n">
        <f aca="false">SUM(P11:P16)</f>
        <v>5385.905099098</v>
      </c>
      <c r="Q17" s="30" t="n">
        <f aca="false">SUM(Q11:Q16)</f>
        <v>7854.61000580992</v>
      </c>
      <c r="R17" s="30" t="n">
        <f aca="false">SUM(R11:R16)</f>
        <v>10851.6368203863</v>
      </c>
      <c r="S17" s="30" t="n">
        <f aca="false">SUM(S11:S16)</f>
        <v>11714.8869046708</v>
      </c>
      <c r="T17" s="30" t="n">
        <f aca="false">SUM(T11:T16)</f>
        <v>14087.5881109833</v>
      </c>
      <c r="U17" s="30" t="n">
        <f aca="false">SUM(U11:U16)</f>
        <v>14992.9917759667</v>
      </c>
      <c r="V17" s="30" t="n">
        <f aca="false">SUM(V11:V16)</f>
        <v>17060.4040044537</v>
      </c>
      <c r="W17" s="30" t="n">
        <f aca="false">SUM(W11:W16)</f>
        <v>18962.5150780095</v>
      </c>
      <c r="X17" s="30" t="n">
        <f aca="false">SUM(X11:X16)</f>
        <v>21802.6755234096</v>
      </c>
      <c r="Y17" s="30" t="n">
        <f aca="false">SUM(Y11:Y16)</f>
        <v>23497.5200102275</v>
      </c>
      <c r="Z17" s="30" t="n">
        <f aca="false">SUM(Z11:Z16)</f>
        <v>28815.3800460882</v>
      </c>
      <c r="AA17" s="30" t="n">
        <f aca="false">SUM(AA11:AA16)</f>
        <v>26989.9190901335</v>
      </c>
      <c r="AB17" s="30" t="n">
        <f aca="false">SUM(AB11:AB16)</f>
        <v>29921.0973190183</v>
      </c>
      <c r="AC17" s="30" t="n">
        <f aca="false">SUM(AC11:AC16)</f>
        <v>34334.6436597755</v>
      </c>
      <c r="AD17" s="30" t="n">
        <f aca="false">SUM(AD11:AD16)</f>
        <v>40641.0634820299</v>
      </c>
      <c r="AE17" s="30" t="n">
        <f aca="false">SUM(AE11:AE16)</f>
        <v>39349.3728209602</v>
      </c>
      <c r="AF17" s="30" t="n">
        <f aca="false">SUM(AF11:AF16)</f>
        <v>43638.204648073</v>
      </c>
      <c r="AG17" s="30" t="n">
        <f aca="false">SUM(AG11:AG16)</f>
        <v>42705.8196443566</v>
      </c>
      <c r="AH17" s="30" t="n">
        <f aca="false">SUM(AH11:AH16)</f>
        <v>45671.7065485375</v>
      </c>
      <c r="AI17" s="30" t="n">
        <f aca="false">SUM(AI11:AI16)</f>
        <v>48400.4542291514</v>
      </c>
      <c r="AJ17" s="30" t="n">
        <f aca="false">SUM(AJ11:AJ16)</f>
        <v>53590.5508332979</v>
      </c>
      <c r="AK17" s="30" t="n">
        <f aca="false">SUM(AK11:AK16)</f>
        <v>56021.9561422214</v>
      </c>
      <c r="AL17" s="30" t="n">
        <f aca="false">SUM(AL11:AL16)</f>
        <v>66997.800568856</v>
      </c>
      <c r="AM17" s="30" t="n">
        <f aca="false">SUM(AM11:AM16)</f>
        <v>57301.2423173922</v>
      </c>
      <c r="AN17" s="30" t="n">
        <f aca="false">SUM(AN11:AN16)</f>
        <v>59100.1436580181</v>
      </c>
      <c r="AO17" s="30" t="n">
        <f aca="false">SUM(AO11:AO16)</f>
        <v>63952.8555672949</v>
      </c>
      <c r="AP17" s="30" t="n">
        <f aca="false">SUM(AP11:AP16)</f>
        <v>72111.3104089646</v>
      </c>
      <c r="AQ17" s="30" t="n">
        <f aca="false">SUM(AQ11:AQ16)</f>
        <v>67030.4586014726</v>
      </c>
      <c r="AR17" s="30" t="n">
        <f aca="false">SUM(AR11:AR16)</f>
        <v>71806.6316283369</v>
      </c>
      <c r="AS17" s="30" t="n">
        <f aca="false">SUM(AS11:AS16)</f>
        <v>66153.8136600532</v>
      </c>
      <c r="AT17" s="30" t="n">
        <f aca="false">SUM(AT11:AT16)</f>
        <v>67244.902476941</v>
      </c>
      <c r="AU17" s="30" t="n">
        <f aca="false">SUM(AU11:AU16)</f>
        <v>68248.7526487831</v>
      </c>
      <c r="AV17" s="30" t="n">
        <f aca="false">SUM(AV11:AV16)</f>
        <v>72812.9888342222</v>
      </c>
      <c r="AW17" s="30" t="n">
        <f aca="false">SUM(AW11:AW16)</f>
        <v>73707.4528605303</v>
      </c>
      <c r="AX17" s="30" t="n">
        <f aca="false">SUM(AX11:AX16)</f>
        <v>85709.9594158252</v>
      </c>
      <c r="AY17" s="30" t="n">
        <f aca="false">SUM(AY11:AY16)</f>
        <v>71523.1695966705</v>
      </c>
      <c r="AZ17" s="30" t="n">
        <f aca="false">SUM(AZ11:AZ16)</f>
        <v>72184.9484165826</v>
      </c>
      <c r="BA17" s="30" t="n">
        <f aca="false">SUM(BA11:BA16)</f>
        <v>76625.0677090133</v>
      </c>
      <c r="BB17" s="30" t="n">
        <f aca="false">SUM(BB11:BB16)</f>
        <v>84936.2082111491</v>
      </c>
      <c r="BC17" s="30" t="n">
        <f aca="false">SUM(BC11:BC16)</f>
        <v>77757.2545933741</v>
      </c>
      <c r="BD17" s="30" t="n">
        <f aca="false">SUM(BD11:BD16)</f>
        <v>82169.216804515</v>
      </c>
      <c r="BE17" s="30" t="n">
        <f aca="false">SUM(BE11:BE16)</f>
        <v>74779.848595139</v>
      </c>
      <c r="BF17" s="30" t="n">
        <f aca="false">SUM(BF11:BF16)</f>
        <v>75181.2377393641</v>
      </c>
      <c r="BG17" s="30" t="n">
        <f aca="false">SUM(BG11:BG16)</f>
        <v>75550.5335796012</v>
      </c>
      <c r="BH17" s="30" t="n">
        <f aca="false">SUM(BH11:BH16)</f>
        <v>79884.528583955</v>
      </c>
      <c r="BI17" s="30" t="n">
        <f aca="false">SUM(BI11:BI16)</f>
        <v>80213.5835101012</v>
      </c>
      <c r="BJ17" s="30" t="n">
        <f aca="false">SUM(BJ11:BJ16)</f>
        <v>92593.7779555594</v>
      </c>
    </row>
    <row r="19" customFormat="false" ht="15" hidden="false" customHeight="false" outlineLevel="0" collapsed="false">
      <c r="A19" s="27" t="s">
        <v>193</v>
      </c>
    </row>
    <row r="20" customFormat="false" ht="15" hidden="false" customHeight="false" outlineLevel="0" collapsed="false">
      <c r="A20" s="28" t="str">
        <f aca="false">Assumptions!A12</f>
        <v>UK → Gambia</v>
      </c>
      <c r="B20" s="16" t="s">
        <v>194</v>
      </c>
      <c r="C20" s="23" t="n">
        <f aca="false">C11*Assumptions!$E$12</f>
        <v>0</v>
      </c>
      <c r="D20" s="23" t="n">
        <f aca="false">D11*Assumptions!$E$12</f>
        <v>0</v>
      </c>
      <c r="E20" s="23" t="n">
        <f aca="false">E11*Assumptions!$E$12</f>
        <v>0</v>
      </c>
      <c r="F20" s="23" t="n">
        <f aca="false">F11*Assumptions!$E$12</f>
        <v>0</v>
      </c>
      <c r="G20" s="23" t="n">
        <f aca="false">G11*Assumptions!$E$12</f>
        <v>0</v>
      </c>
      <c r="H20" s="23" t="n">
        <f aca="false">H11*Assumptions!$E$12</f>
        <v>0</v>
      </c>
      <c r="I20" s="23" t="n">
        <f aca="false">I11*Assumptions!$E$12</f>
        <v>0</v>
      </c>
      <c r="J20" s="23" t="n">
        <f aca="false">J11*Assumptions!$E$12</f>
        <v>0</v>
      </c>
      <c r="K20" s="23" t="n">
        <f aca="false">K11*Assumptions!$E$12</f>
        <v>0</v>
      </c>
      <c r="L20" s="23" t="n">
        <f aca="false">L11*Assumptions!$E$12</f>
        <v>0</v>
      </c>
      <c r="M20" s="23" t="n">
        <f aca="false">M11*Assumptions!$E$12</f>
        <v>367795.692705113</v>
      </c>
      <c r="N20" s="23" t="n">
        <f aca="false">N11*Assumptions!$E$12</f>
        <v>812111.675328651</v>
      </c>
      <c r="O20" s="23" t="n">
        <f aca="false">O11*Assumptions!$E$12</f>
        <v>966640.577977961</v>
      </c>
      <c r="P20" s="23" t="n">
        <f aca="false">P11*Assumptions!$E$12</f>
        <v>1238758.17279254</v>
      </c>
      <c r="Q20" s="23" t="n">
        <f aca="false">Q11*Assumptions!$E$12</f>
        <v>1567493.10107796</v>
      </c>
      <c r="R20" s="23" t="n">
        <f aca="false">R11*Assumptions!$E$12</f>
        <v>1990954.86185408</v>
      </c>
      <c r="S20" s="23" t="n">
        <f aca="false">S11*Assumptions!$E$12</f>
        <v>2033038.32945778</v>
      </c>
      <c r="T20" s="23" t="n">
        <f aca="false">T11*Assumptions!$E$12</f>
        <v>2350195.31507258</v>
      </c>
      <c r="U20" s="23" t="n">
        <f aca="false">U11*Assumptions!$E$12</f>
        <v>2305758.16452177</v>
      </c>
      <c r="V20" s="23" t="n">
        <f aca="false">V11*Assumptions!$E$12</f>
        <v>2470805.82882407</v>
      </c>
      <c r="W20" s="23" t="n">
        <f aca="false">W11*Assumptions!$E$12</f>
        <v>2622657.01051302</v>
      </c>
      <c r="X20" s="23" t="n">
        <f aca="false">X11*Assumptions!$E$12</f>
        <v>2907754.57061137</v>
      </c>
      <c r="Y20" s="23" t="n">
        <f aca="false">Y11*Assumptions!$E$12</f>
        <v>3043059.04450899</v>
      </c>
      <c r="Z20" s="23" t="n">
        <f aca="false">Z11*Assumptions!$E$12</f>
        <v>3642676.94549178</v>
      </c>
      <c r="AA20" s="23" t="n">
        <f aca="false">AA11*Assumptions!$E$12</f>
        <v>3117974.03772097</v>
      </c>
      <c r="AB20" s="23" t="n">
        <f aca="false">AB11*Assumptions!$E$12</f>
        <v>3218080.50643427</v>
      </c>
      <c r="AC20" s="23" t="n">
        <f aca="false">AC11*Assumptions!$E$12</f>
        <v>3484403.05667602</v>
      </c>
      <c r="AD20" s="23" t="n">
        <f aca="false">AD11*Assumptions!$E$12</f>
        <v>3930961.38964895</v>
      </c>
      <c r="AE20" s="23" t="n">
        <f aca="false">AE11*Assumptions!$E$12</f>
        <v>3655667.57513242</v>
      </c>
      <c r="AF20" s="23" t="n">
        <f aca="false">AF11*Assumptions!$E$12</f>
        <v>3917730.83829458</v>
      </c>
      <c r="AG20" s="23" t="n">
        <f aca="false">AG11*Assumptions!$E$12</f>
        <v>3610607.86712155</v>
      </c>
      <c r="AH20" s="23" t="n">
        <f aca="false">AH11*Assumptions!$E$12</f>
        <v>3671325.50963174</v>
      </c>
      <c r="AI20" s="23" t="n">
        <f aca="false">AI11*Assumptions!$E$12</f>
        <v>3727188.43749269</v>
      </c>
      <c r="AJ20" s="23" t="n">
        <f aca="false">AJ11*Assumptions!$E$12</f>
        <v>3977457.69711158</v>
      </c>
      <c r="AK20" s="23" t="n">
        <f aca="false">AK11*Assumptions!$E$12</f>
        <v>4027233.43135703</v>
      </c>
      <c r="AL20" s="23" t="n">
        <f aca="false">AL11*Assumptions!$E$12</f>
        <v>4683983.71527868</v>
      </c>
      <c r="AM20" s="23" t="n">
        <f aca="false">AM11*Assumptions!$E$12</f>
        <v>3909405.38866465</v>
      </c>
      <c r="AN20" s="23" t="n">
        <f aca="false">AN11*Assumptions!$E$12</f>
        <v>3946232.50043255</v>
      </c>
      <c r="AO20" s="23" t="n">
        <f aca="false">AO11*Assumptions!$E$12</f>
        <v>4189594.8199174</v>
      </c>
      <c r="AP20" s="23" t="n">
        <f aca="false">AP11*Assumptions!$E$12</f>
        <v>4644649.90696307</v>
      </c>
      <c r="AQ20" s="23" t="n">
        <f aca="false">AQ11*Assumptions!$E$12</f>
        <v>4252599.51525964</v>
      </c>
      <c r="AR20" s="23" t="n">
        <f aca="false">AR11*Assumptions!$E$12</f>
        <v>4494394.93059387</v>
      </c>
      <c r="AS20" s="23" t="n">
        <f aca="false">AS11*Assumptions!$E$12</f>
        <v>4090635.24652669</v>
      </c>
      <c r="AT20" s="23" t="n">
        <f aca="false">AT11*Assumptions!$E$12</f>
        <v>4112972.01892258</v>
      </c>
      <c r="AU20" s="23" t="n">
        <f aca="false">AU11*Assumptions!$E$12</f>
        <v>4133522.84160627</v>
      </c>
      <c r="AV20" s="23" t="n">
        <f aca="false">AV11*Assumptions!$E$12</f>
        <v>4370979.48550783</v>
      </c>
      <c r="AW20" s="23" t="n">
        <f aca="false">AW11*Assumptions!$E$12</f>
        <v>4389290.95480594</v>
      </c>
      <c r="AX20" s="23" t="n">
        <f aca="false">AX11*Assumptions!$E$12</f>
        <v>5067059.06783593</v>
      </c>
      <c r="AY20" s="23" t="n">
        <f aca="false">AY11*Assumptions!$E$12</f>
        <v>4200556.71177538</v>
      </c>
      <c r="AZ20" s="23" t="n">
        <f aca="false">AZ11*Assumptions!$E$12</f>
        <v>4214104.64907251</v>
      </c>
      <c r="BA20" s="23" t="n">
        <f aca="false">BA11*Assumptions!$E$12</f>
        <v>4449020.37169735</v>
      </c>
      <c r="BB20" s="23" t="n">
        <f aca="false">BB11*Assumptions!$E$12</f>
        <v>4907201.23988307</v>
      </c>
      <c r="BC20" s="23" t="n">
        <f aca="false">BC11*Assumptions!$E$12</f>
        <v>4472198.50381103</v>
      </c>
      <c r="BD20" s="23" t="n">
        <f aca="false">BD11*Assumptions!$E$12</f>
        <v>4706537.79461257</v>
      </c>
      <c r="BE20" s="23" t="n">
        <f aca="false">BE11*Assumptions!$E$12</f>
        <v>4267227.45060924</v>
      </c>
      <c r="BF20" s="23" t="n">
        <f aca="false">BF11*Assumptions!$E$12</f>
        <v>4275444.68995582</v>
      </c>
      <c r="BG20" s="23" t="n">
        <f aca="false">BG11*Assumptions!$E$12</f>
        <v>4283004.9151203</v>
      </c>
      <c r="BH20" s="23" t="n">
        <f aca="false">BH11*Assumptions!$E$12</f>
        <v>4515748.06111182</v>
      </c>
      <c r="BI20" s="23" t="n">
        <f aca="false">BI11*Assumptions!$E$12</f>
        <v>4522484.47420424</v>
      </c>
      <c r="BJ20" s="23" t="n">
        <f aca="false">BJ11*Assumptions!$E$12</f>
        <v>5207984.61446124</v>
      </c>
    </row>
    <row r="21" customFormat="false" ht="15" hidden="false" customHeight="false" outlineLevel="0" collapsed="false">
      <c r="A21" s="28" t="str">
        <f aca="false">Assumptions!A13</f>
        <v>China → Gambia</v>
      </c>
      <c r="B21" s="16" t="s">
        <v>194</v>
      </c>
      <c r="C21" s="23" t="n">
        <f aca="false">C12*Assumptions!$E$13</f>
        <v>0</v>
      </c>
      <c r="D21" s="23" t="n">
        <f aca="false">D12*Assumptions!$E$13</f>
        <v>0</v>
      </c>
      <c r="E21" s="23" t="n">
        <f aca="false">E12*Assumptions!$E$13</f>
        <v>0</v>
      </c>
      <c r="F21" s="23" t="n">
        <f aca="false">F12*Assumptions!$E$13</f>
        <v>0</v>
      </c>
      <c r="G21" s="23" t="n">
        <f aca="false">G12*Assumptions!$E$13</f>
        <v>0</v>
      </c>
      <c r="H21" s="23" t="n">
        <f aca="false">H12*Assumptions!$E$13</f>
        <v>0</v>
      </c>
      <c r="I21" s="23" t="n">
        <f aca="false">I12*Assumptions!$E$13</f>
        <v>0</v>
      </c>
      <c r="J21" s="23" t="n">
        <f aca="false">J12*Assumptions!$E$13</f>
        <v>0</v>
      </c>
      <c r="K21" s="23" t="n">
        <f aca="false">K12*Assumptions!$E$13</f>
        <v>0</v>
      </c>
      <c r="L21" s="23" t="n">
        <f aca="false">L12*Assumptions!$E$13</f>
        <v>0</v>
      </c>
      <c r="M21" s="23" t="n">
        <f aca="false">M12*Assumptions!$E$13</f>
        <v>0</v>
      </c>
      <c r="N21" s="23" t="n">
        <f aca="false">N12*Assumptions!$E$13</f>
        <v>0</v>
      </c>
      <c r="O21" s="23" t="n">
        <f aca="false">O12*Assumptions!$E$13</f>
        <v>0</v>
      </c>
      <c r="P21" s="23" t="n">
        <f aca="false">P12*Assumptions!$E$13</f>
        <v>0</v>
      </c>
      <c r="Q21" s="23" t="n">
        <f aca="false">Q12*Assumptions!$E$13</f>
        <v>332615.235142015</v>
      </c>
      <c r="R21" s="23" t="n">
        <f aca="false">R12*Assumptions!$E$13</f>
        <v>702499.62690055</v>
      </c>
      <c r="S21" s="23" t="n">
        <f aca="false">S12*Assumptions!$E$13</f>
        <v>920188.742422956</v>
      </c>
      <c r="T21" s="23" t="n">
        <f aca="false">T12*Assumptions!$E$13</f>
        <v>1238191.23541369</v>
      </c>
      <c r="U21" s="23" t="n">
        <f aca="false">U12*Assumptions!$E$13</f>
        <v>1346681.02944785</v>
      </c>
      <c r="V21" s="23" t="n">
        <f aca="false">V12*Assumptions!$E$13</f>
        <v>1554990.83281567</v>
      </c>
      <c r="W21" s="23" t="n">
        <f aca="false">W12*Assumptions!$E$13</f>
        <v>1746645.10391677</v>
      </c>
      <c r="X21" s="23" t="n">
        <f aca="false">X12*Assumptions!$E$13</f>
        <v>2024184.78482442</v>
      </c>
      <c r="Y21" s="23" t="n">
        <f aca="false">Y12*Assumptions!$E$13</f>
        <v>2194955.14059738</v>
      </c>
      <c r="Z21" s="23" t="n">
        <f aca="false">Z12*Assumptions!$E$13</f>
        <v>2704882.17050214</v>
      </c>
      <c r="AA21" s="23" t="n">
        <f aca="false">AA12*Assumptions!$E$13</f>
        <v>2371794.16602916</v>
      </c>
      <c r="AB21" s="23" t="n">
        <f aca="false">AB12*Assumptions!$E$13</f>
        <v>2498140.44849046</v>
      </c>
      <c r="AC21" s="23" t="n">
        <f aca="false">AC12*Assumptions!$E$13</f>
        <v>2751983.83155595</v>
      </c>
      <c r="AD21" s="23" t="n">
        <f aca="false">AD12*Assumptions!$E$13</f>
        <v>3151018.8473668</v>
      </c>
      <c r="AE21" s="23" t="n">
        <f aca="false">AE12*Assumptions!$E$13</f>
        <v>2968140.04506161</v>
      </c>
      <c r="AF21" s="23" t="n">
        <f aca="false">AF12*Assumptions!$E$13</f>
        <v>3216607.70071051</v>
      </c>
      <c r="AG21" s="23" t="n">
        <f aca="false">AG12*Assumptions!$E$13</f>
        <v>2993556.71303992</v>
      </c>
      <c r="AH21" s="23" t="n">
        <f aca="false">AH12*Assumptions!$E$13</f>
        <v>3070189.60709341</v>
      </c>
      <c r="AI21" s="23" t="n">
        <f aca="false">AI12*Assumptions!$E$13</f>
        <v>3140695.2732442</v>
      </c>
      <c r="AJ21" s="23" t="n">
        <f aca="false">AJ12*Assumptions!$E$13</f>
        <v>3374277.49219574</v>
      </c>
      <c r="AK21" s="23" t="n">
        <f aca="false">AK12*Assumptions!$E$13</f>
        <v>3437100.39524615</v>
      </c>
      <c r="AL21" s="23" t="n">
        <f aca="false">AL12*Assumptions!$E$13</f>
        <v>4019135.29475474</v>
      </c>
      <c r="AM21" s="23" t="n">
        <f aca="false">AM12*Assumptions!$E$13</f>
        <v>3370674.76086296</v>
      </c>
      <c r="AN21" s="23" t="n">
        <f aca="false">AN12*Assumptions!$E$13</f>
        <v>3417154.96064891</v>
      </c>
      <c r="AO21" s="23" t="n">
        <f aca="false">AO12*Assumptions!$E$13</f>
        <v>3642019.79879245</v>
      </c>
      <c r="AP21" s="23" t="n">
        <f aca="false">AP12*Assumptions!$E$13</f>
        <v>4051778.72988946</v>
      </c>
      <c r="AQ21" s="23" t="n">
        <f aca="false">AQ12*Assumptions!$E$13</f>
        <v>3721539.22582264</v>
      </c>
      <c r="AR21" s="23" t="n">
        <f aca="false">AR12*Assumptions!$E$13</f>
        <v>3944426.44436828</v>
      </c>
      <c r="AS21" s="23" t="n">
        <f aca="false">AS12*Assumptions!$E$13</f>
        <v>3599408.4191986</v>
      </c>
      <c r="AT21" s="23" t="n">
        <f aca="false">AT12*Assumptions!$E$13</f>
        <v>3627600.08543835</v>
      </c>
      <c r="AU21" s="23" t="n">
        <f aca="false">AU12*Assumptions!$E$13</f>
        <v>3653537.67050133</v>
      </c>
      <c r="AV21" s="23" t="n">
        <f aca="false">AV12*Assumptions!$E$13</f>
        <v>3870948.84291315</v>
      </c>
      <c r="AW21" s="23" t="n">
        <f aca="false">AW12*Assumptions!$E$13</f>
        <v>3894060.0973801</v>
      </c>
      <c r="AX21" s="23" t="n">
        <f aca="false">AX12*Assumptions!$E$13</f>
        <v>4502621.99966262</v>
      </c>
      <c r="AY21" s="23" t="n">
        <f aca="false">AY12*Assumptions!$E$13</f>
        <v>3738142.39588741</v>
      </c>
      <c r="AZ21" s="23" t="n">
        <f aca="false">AZ12*Assumptions!$E$13</f>
        <v>3755241.5058102</v>
      </c>
      <c r="BA21" s="23" t="n">
        <f aca="false">BA12*Assumptions!$E$13</f>
        <v>3969445.73304189</v>
      </c>
      <c r="BB21" s="23" t="n">
        <f aca="false">BB12*Assumptions!$E$13</f>
        <v>4383149.77210155</v>
      </c>
      <c r="BC21" s="23" t="n">
        <f aca="false">BC12*Assumptions!$E$13</f>
        <v>3998699.29542004</v>
      </c>
      <c r="BD21" s="23" t="n">
        <f aca="false">BD12*Assumptions!$E$13</f>
        <v>4212175.9970592</v>
      </c>
      <c r="BE21" s="23" t="n">
        <f aca="false">BE12*Assumptions!$E$13</f>
        <v>3822288.80629303</v>
      </c>
      <c r="BF21" s="23" t="n">
        <f aca="false">BF12*Assumptions!$E$13</f>
        <v>3832659.940715</v>
      </c>
      <c r="BG21" s="23" t="n">
        <f aca="false">BG12*Assumptions!$E$13</f>
        <v>3842201.8450133</v>
      </c>
      <c r="BH21" s="23" t="n">
        <f aca="false">BH12*Assumptions!$E$13</f>
        <v>4053664.02186093</v>
      </c>
      <c r="BI21" s="23" t="n">
        <f aca="false">BI12*Assumptions!$E$13</f>
        <v>4062166.177239</v>
      </c>
      <c r="BJ21" s="23" t="n">
        <f aca="false">BJ12*Assumptions!$E$13</f>
        <v>4680486.81847794</v>
      </c>
    </row>
    <row r="22" customFormat="false" ht="15" hidden="false" customHeight="false" outlineLevel="0" collapsed="false">
      <c r="A22" s="28" t="str">
        <f aca="false">Assumptions!A14</f>
        <v>USA → Gambia</v>
      </c>
      <c r="B22" s="16" t="s">
        <v>194</v>
      </c>
      <c r="C22" s="23" t="n">
        <f aca="false">C13*Assumptions!$E$14</f>
        <v>0</v>
      </c>
      <c r="D22" s="23" t="n">
        <f aca="false">D13*Assumptions!$E$14</f>
        <v>0</v>
      </c>
      <c r="E22" s="23" t="n">
        <f aca="false">E13*Assumptions!$E$14</f>
        <v>0</v>
      </c>
      <c r="F22" s="23" t="n">
        <f aca="false">F13*Assumptions!$E$14</f>
        <v>0</v>
      </c>
      <c r="G22" s="23" t="n">
        <f aca="false">G13*Assumptions!$E$14</f>
        <v>0</v>
      </c>
      <c r="H22" s="23" t="n">
        <f aca="false">H13*Assumptions!$E$14</f>
        <v>0</v>
      </c>
      <c r="I22" s="23" t="n">
        <f aca="false">I13*Assumptions!$E$14</f>
        <v>0</v>
      </c>
      <c r="J22" s="23" t="n">
        <f aca="false">J13*Assumptions!$E$14</f>
        <v>0</v>
      </c>
      <c r="K22" s="23" t="n">
        <f aca="false">K13*Assumptions!$E$14</f>
        <v>0</v>
      </c>
      <c r="L22" s="23" t="n">
        <f aca="false">L13*Assumptions!$E$14</f>
        <v>0</v>
      </c>
      <c r="M22" s="23" t="n">
        <f aca="false">M13*Assumptions!$E$14</f>
        <v>0</v>
      </c>
      <c r="N22" s="23" t="n">
        <f aca="false">N13*Assumptions!$E$14</f>
        <v>0</v>
      </c>
      <c r="O22" s="23" t="n">
        <f aca="false">O13*Assumptions!$E$14</f>
        <v>0</v>
      </c>
      <c r="P22" s="23" t="n">
        <f aca="false">P13*Assumptions!$E$14</f>
        <v>0</v>
      </c>
      <c r="Q22" s="23" t="n">
        <f aca="false">Q13*Assumptions!$E$14</f>
        <v>0</v>
      </c>
      <c r="R22" s="23" t="n">
        <f aca="false">R13*Assumptions!$E$14</f>
        <v>0</v>
      </c>
      <c r="S22" s="23" t="n">
        <f aca="false">S13*Assumptions!$E$14</f>
        <v>0</v>
      </c>
      <c r="T22" s="23" t="n">
        <f aca="false">T13*Assumptions!$E$14</f>
        <v>0</v>
      </c>
      <c r="U22" s="23" t="n">
        <f aca="false">U13*Assumptions!$E$14</f>
        <v>227873.418306429</v>
      </c>
      <c r="V22" s="23" t="n">
        <f aca="false">V13*Assumptions!$E$14</f>
        <v>437527.08406175</v>
      </c>
      <c r="W22" s="23" t="n">
        <f aca="false">W13*Assumptions!$E$14</f>
        <v>630417.768246496</v>
      </c>
      <c r="X22" s="23" t="n">
        <f aca="false">X13*Assumptions!$E$14</f>
        <v>850406.068278632</v>
      </c>
      <c r="Y22" s="23" t="n">
        <f aca="false">Y13*Assumptions!$E$14</f>
        <v>1022278.10939867</v>
      </c>
      <c r="Z22" s="23" t="n">
        <f aca="false">Z13*Assumptions!$E$14</f>
        <v>1357469.22399141</v>
      </c>
      <c r="AA22" s="23" t="n">
        <f aca="false">AA13*Assumptions!$E$14</f>
        <v>1259599.83455537</v>
      </c>
      <c r="AB22" s="23" t="n">
        <f aca="false">AB13*Assumptions!$E$14</f>
        <v>1386761.21075711</v>
      </c>
      <c r="AC22" s="23" t="n">
        <f aca="false">AC13*Assumptions!$E$14</f>
        <v>1582900.34177696</v>
      </c>
      <c r="AD22" s="23" t="n">
        <f aca="false">AD13*Assumptions!$E$14</f>
        <v>1865825.91192664</v>
      </c>
      <c r="AE22" s="23" t="n">
        <f aca="false">AE13*Assumptions!$E$14</f>
        <v>1800451.03696546</v>
      </c>
      <c r="AF22" s="23" t="n">
        <f aca="false">AF13*Assumptions!$E$14</f>
        <v>1991179.76030996</v>
      </c>
      <c r="AG22" s="23" t="n">
        <f aca="false">AG13*Assumptions!$E$14</f>
        <v>1885373.53844578</v>
      </c>
      <c r="AH22" s="23" t="n">
        <f aca="false">AH13*Assumptions!$E$14</f>
        <v>1962500.8118434</v>
      </c>
      <c r="AI22" s="23" t="n">
        <f aca="false">AI13*Assumptions!$E$14</f>
        <v>2033461.32894846</v>
      </c>
      <c r="AJ22" s="23" t="n">
        <f aca="false">AJ13*Assumptions!$E$14</f>
        <v>2209208.58565282</v>
      </c>
      <c r="AK22" s="23" t="n">
        <f aca="false">AK13*Assumptions!$E$14</f>
        <v>2272436.77609305</v>
      </c>
      <c r="AL22" s="23" t="n">
        <f aca="false">AL13*Assumptions!$E$14</f>
        <v>2680200.94748792</v>
      </c>
      <c r="AM22" s="23" t="n">
        <f aca="false">AM13*Assumptions!$E$14</f>
        <v>2264924.47589726</v>
      </c>
      <c r="AN22" s="23" t="n">
        <f aca="false">AN13*Assumptions!$E$14</f>
        <v>2311704.53191295</v>
      </c>
      <c r="AO22" s="23" t="n">
        <f aca="false">AO13*Assumptions!$E$14</f>
        <v>2478678.16964866</v>
      </c>
      <c r="AP22" s="23" t="n">
        <f aca="false">AP13*Assumptions!$E$14</f>
        <v>2772396.83793701</v>
      </c>
      <c r="AQ22" s="23" t="n">
        <f aca="false">AQ13*Assumptions!$E$14</f>
        <v>2558710.59782107</v>
      </c>
      <c r="AR22" s="23" t="n">
        <f aca="false">AR13*Assumptions!$E$14</f>
        <v>2723693.85780467</v>
      </c>
      <c r="AS22" s="23" t="n">
        <f aca="false">AS13*Assumptions!$E$14</f>
        <v>2495133.75638425</v>
      </c>
      <c r="AT22" s="23" t="n">
        <f aca="false">AT13*Assumptions!$E$14</f>
        <v>2523507.29462084</v>
      </c>
      <c r="AU22" s="23" t="n">
        <f aca="false">AU13*Assumptions!$E$14</f>
        <v>2549612.20999869</v>
      </c>
      <c r="AV22" s="23" t="n">
        <f aca="false">AV13*Assumptions!$E$14</f>
        <v>2709084.09640679</v>
      </c>
      <c r="AW22" s="23" t="n">
        <f aca="false">AW13*Assumptions!$E$14</f>
        <v>2732344.44777222</v>
      </c>
      <c r="AX22" s="23" t="n">
        <f aca="false">AX13*Assumptions!$E$14</f>
        <v>3166806.75474755</v>
      </c>
      <c r="AY22" s="23" t="n">
        <f aca="false">AY13*Assumptions!$E$14</f>
        <v>2634762.74315</v>
      </c>
      <c r="AZ22" s="23" t="n">
        <f aca="false">AZ13*Assumptions!$E$14</f>
        <v>2651972.16401502</v>
      </c>
      <c r="BA22" s="23" t="n">
        <f aca="false">BA13*Assumptions!$E$14</f>
        <v>2808216.41637988</v>
      </c>
      <c r="BB22" s="23" t="n">
        <f aca="false">BB13*Assumptions!$E$14</f>
        <v>3105905.64357998</v>
      </c>
      <c r="BC22" s="23" t="n">
        <f aca="false">BC13*Assumptions!$E$14</f>
        <v>2837658.70133154</v>
      </c>
      <c r="BD22" s="23" t="n">
        <f aca="false">BD13*Assumptions!$E$14</f>
        <v>2993170.73464123</v>
      </c>
      <c r="BE22" s="23" t="n">
        <f aca="false">BE13*Assumptions!$E$14</f>
        <v>2719452.00460803</v>
      </c>
      <c r="BF22" s="23" t="n">
        <f aca="false">BF13*Assumptions!$E$14</f>
        <v>2729890.04599856</v>
      </c>
      <c r="BG22" s="23" t="n">
        <f aca="false">BG13*Assumptions!$E$14</f>
        <v>2739493.50767959</v>
      </c>
      <c r="BH22" s="23" t="n">
        <f aca="false">BH13*Assumptions!$E$14</f>
        <v>2892978.01995824</v>
      </c>
      <c r="BI22" s="23" t="n">
        <f aca="false">BI13*Assumptions!$E$14</f>
        <v>2901535.02502001</v>
      </c>
      <c r="BJ22" s="23" t="n">
        <f aca="false">BJ13*Assumptions!$E$14</f>
        <v>3345819.027193</v>
      </c>
    </row>
    <row r="23" customFormat="false" ht="15" hidden="false" customHeight="false" outlineLevel="0" collapsed="false">
      <c r="A23" s="28" t="str">
        <f aca="false">Assumptions!A15</f>
        <v>Regional: Senegal (Dakar)</v>
      </c>
      <c r="B23" s="16" t="s">
        <v>194</v>
      </c>
      <c r="C23" s="23" t="n">
        <f aca="false">C14*Assumptions!$E$15</f>
        <v>0</v>
      </c>
      <c r="D23" s="23" t="n">
        <f aca="false">D14*Assumptions!$E$15</f>
        <v>0</v>
      </c>
      <c r="E23" s="23" t="n">
        <f aca="false">E14*Assumptions!$E$15</f>
        <v>0</v>
      </c>
      <c r="F23" s="23" t="n">
        <f aca="false">F14*Assumptions!$E$15</f>
        <v>0</v>
      </c>
      <c r="G23" s="23" t="n">
        <f aca="false">G14*Assumptions!$E$15</f>
        <v>0</v>
      </c>
      <c r="H23" s="23" t="n">
        <f aca="false">H14*Assumptions!$E$15</f>
        <v>0</v>
      </c>
      <c r="I23" s="23" t="n">
        <f aca="false">I14*Assumptions!$E$15</f>
        <v>0</v>
      </c>
      <c r="J23" s="23" t="n">
        <f aca="false">J14*Assumptions!$E$15</f>
        <v>0</v>
      </c>
      <c r="K23" s="23" t="n">
        <f aca="false">K14*Assumptions!$E$15</f>
        <v>0</v>
      </c>
      <c r="L23" s="23" t="n">
        <f aca="false">L14*Assumptions!$E$15</f>
        <v>0</v>
      </c>
      <c r="M23" s="23" t="n">
        <f aca="false">M14*Assumptions!$E$15</f>
        <v>0</v>
      </c>
      <c r="N23" s="23" t="n">
        <f aca="false">N14*Assumptions!$E$15</f>
        <v>0</v>
      </c>
      <c r="O23" s="23" t="n">
        <f aca="false">O14*Assumptions!$E$15</f>
        <v>0</v>
      </c>
      <c r="P23" s="23" t="n">
        <f aca="false">P14*Assumptions!$E$15</f>
        <v>0</v>
      </c>
      <c r="Q23" s="23" t="n">
        <f aca="false">Q14*Assumptions!$E$15</f>
        <v>0</v>
      </c>
      <c r="R23" s="23" t="n">
        <f aca="false">R14*Assumptions!$E$15</f>
        <v>0</v>
      </c>
      <c r="S23" s="23" t="n">
        <f aca="false">S14*Assumptions!$E$15</f>
        <v>0</v>
      </c>
      <c r="T23" s="23" t="n">
        <f aca="false">T14*Assumptions!$E$15</f>
        <v>0</v>
      </c>
      <c r="U23" s="23" t="n">
        <f aca="false">U14*Assumptions!$E$15</f>
        <v>0</v>
      </c>
      <c r="V23" s="23" t="n">
        <f aca="false">V14*Assumptions!$E$15</f>
        <v>0</v>
      </c>
      <c r="W23" s="23" t="n">
        <f aca="false">W14*Assumptions!$E$15</f>
        <v>0</v>
      </c>
      <c r="X23" s="23" t="n">
        <f aca="false">X14*Assumptions!$E$15</f>
        <v>0</v>
      </c>
      <c r="Y23" s="23" t="n">
        <f aca="false">Y14*Assumptions!$E$15</f>
        <v>0</v>
      </c>
      <c r="Z23" s="23" t="n">
        <f aca="false">Z14*Assumptions!$E$15</f>
        <v>0</v>
      </c>
      <c r="AA23" s="23" t="n">
        <f aca="false">AA14*Assumptions!$E$15</f>
        <v>200528.608109657</v>
      </c>
      <c r="AB23" s="23" t="n">
        <f aca="false">AB14*Assumptions!$E$15</f>
        <v>385023.83397434</v>
      </c>
      <c r="AC23" s="23" t="n">
        <f aca="false">AC14*Assumptions!$E$15</f>
        <v>583965.932691491</v>
      </c>
      <c r="AD23" s="23" t="n">
        <f aca="false">AD14*Assumptions!$E$15</f>
        <v>823193.074093716</v>
      </c>
      <c r="AE23" s="23" t="n">
        <f aca="false">AE14*Assumptions!$E$15</f>
        <v>899604.736270828</v>
      </c>
      <c r="AF23" s="23" t="n">
        <f aca="false">AF14*Assumptions!$E$15</f>
        <v>1090697.01127658</v>
      </c>
      <c r="AG23" s="23" t="n">
        <f aca="false">AG14*Assumptions!$E$15</f>
        <v>1108447.85440872</v>
      </c>
      <c r="AH23" s="23" t="n">
        <f aca="false">AH14*Assumptions!$E$15</f>
        <v>1220349.86546626</v>
      </c>
      <c r="AI23" s="23" t="n">
        <f aca="false">AI14*Assumptions!$E$15</f>
        <v>1323304.68572554</v>
      </c>
      <c r="AJ23" s="23" t="n">
        <f aca="false">AJ14*Assumptions!$E$15</f>
        <v>1492660.72954131</v>
      </c>
      <c r="AK23" s="23" t="n">
        <f aca="false">AK14*Assumptions!$E$15</f>
        <v>1584396.9125296</v>
      </c>
      <c r="AL23" s="23" t="n">
        <f aca="false">AL14*Assumptions!$E$15</f>
        <v>1919118.0166035</v>
      </c>
      <c r="AM23" s="23" t="n">
        <f aca="false">AM14*Assumptions!$E$15</f>
        <v>1659128.71383229</v>
      </c>
      <c r="AN23" s="23" t="n">
        <f aca="false">AN14*Assumptions!$E$15</f>
        <v>1727000.71442219</v>
      </c>
      <c r="AO23" s="23" t="n">
        <f aca="false">AO14*Assumptions!$E$15</f>
        <v>1883627.3362891</v>
      </c>
      <c r="AP23" s="23" t="n">
        <f aca="false">AP14*Assumptions!$E$15</f>
        <v>2138513.91091193</v>
      </c>
      <c r="AQ23" s="23" t="n">
        <f aca="false">AQ14*Assumptions!$E$15</f>
        <v>1999744.36296189</v>
      </c>
      <c r="AR23" s="23" t="n">
        <f aca="false">AR14*Assumptions!$E$15</f>
        <v>2153483.19606855</v>
      </c>
      <c r="AS23" s="23" t="n">
        <f aca="false">AS14*Assumptions!$E$15</f>
        <v>1993133.53878959</v>
      </c>
      <c r="AT23" s="23" t="n">
        <f aca="false">AT14*Assumptions!$E$15</f>
        <v>2034299.9880834</v>
      </c>
      <c r="AU23" s="23" t="n">
        <f aca="false">AU14*Assumptions!$E$15</f>
        <v>2072174.94982628</v>
      </c>
      <c r="AV23" s="23" t="n">
        <f aca="false">AV14*Assumptions!$E$15</f>
        <v>2217917.47034961</v>
      </c>
      <c r="AW23" s="23" t="n">
        <f aca="false">AW14*Assumptions!$E$15</f>
        <v>2251665.32608254</v>
      </c>
      <c r="AX23" s="23" t="n">
        <f aca="false">AX14*Assumptions!$E$15</f>
        <v>2625122.08009364</v>
      </c>
      <c r="AY23" s="23" t="n">
        <f aca="false">AY14*Assumptions!$E$15</f>
        <v>2195717.70561814</v>
      </c>
      <c r="AZ23" s="23" t="n">
        <f aca="false">AZ14*Assumptions!$E$15</f>
        <v>2220686.41926634</v>
      </c>
      <c r="BA23" s="23" t="n">
        <f aca="false">BA14*Assumptions!$E$15</f>
        <v>2361746.04715668</v>
      </c>
      <c r="BB23" s="23" t="n">
        <f aca="false">BB14*Assumptions!$E$15</f>
        <v>2622393.40532177</v>
      </c>
      <c r="BC23" s="23" t="n">
        <f aca="false">BC14*Assumptions!$E$15</f>
        <v>2404463.11403955</v>
      </c>
      <c r="BD23" s="23" t="n">
        <f aca="false">BD14*Assumptions!$E$15</f>
        <v>2544460.38381455</v>
      </c>
      <c r="BE23" s="23" t="n">
        <f aca="false">BE14*Assumptions!$E$15</f>
        <v>2318591.213972</v>
      </c>
      <c r="BF23" s="23" t="n">
        <f aca="false">BF14*Assumptions!$E$15</f>
        <v>2333735.50433321</v>
      </c>
      <c r="BG23" s="23" t="n">
        <f aca="false">BG14*Assumptions!$E$15</f>
        <v>2347668.92409358</v>
      </c>
      <c r="BH23" s="23" t="n">
        <f aca="false">BH14*Assumptions!$E$15</f>
        <v>2484724.51486399</v>
      </c>
      <c r="BI23" s="23" t="n">
        <f aca="false">BI14*Assumptions!$E$15</f>
        <v>2497139.65717175</v>
      </c>
      <c r="BJ23" s="23" t="n">
        <f aca="false">BJ14*Assumptions!$E$15</f>
        <v>2884846.46043516</v>
      </c>
    </row>
    <row r="24" customFormat="false" ht="15" hidden="false" customHeight="false" outlineLevel="0" collapsed="false">
      <c r="A24" s="28" t="str">
        <f aca="false">Assumptions!A16</f>
        <v>Regional: Guinea (Conakry)</v>
      </c>
      <c r="B24" s="16" t="s">
        <v>194</v>
      </c>
      <c r="C24" s="23" t="n">
        <f aca="false">C15*Assumptions!$E$16</f>
        <v>0</v>
      </c>
      <c r="D24" s="23" t="n">
        <f aca="false">D15*Assumptions!$E$16</f>
        <v>0</v>
      </c>
      <c r="E24" s="23" t="n">
        <f aca="false">E15*Assumptions!$E$16</f>
        <v>0</v>
      </c>
      <c r="F24" s="23" t="n">
        <f aca="false">F15*Assumptions!$E$16</f>
        <v>0</v>
      </c>
      <c r="G24" s="23" t="n">
        <f aca="false">G15*Assumptions!$E$16</f>
        <v>0</v>
      </c>
      <c r="H24" s="23" t="n">
        <f aca="false">H15*Assumptions!$E$16</f>
        <v>0</v>
      </c>
      <c r="I24" s="23" t="n">
        <f aca="false">I15*Assumptions!$E$16</f>
        <v>0</v>
      </c>
      <c r="J24" s="23" t="n">
        <f aca="false">J15*Assumptions!$E$16</f>
        <v>0</v>
      </c>
      <c r="K24" s="23" t="n">
        <f aca="false">K15*Assumptions!$E$16</f>
        <v>0</v>
      </c>
      <c r="L24" s="23" t="n">
        <f aca="false">L15*Assumptions!$E$16</f>
        <v>0</v>
      </c>
      <c r="M24" s="23" t="n">
        <f aca="false">M15*Assumptions!$E$16</f>
        <v>0</v>
      </c>
      <c r="N24" s="23" t="n">
        <f aca="false">N15*Assumptions!$E$16</f>
        <v>0</v>
      </c>
      <c r="O24" s="23" t="n">
        <f aca="false">O15*Assumptions!$E$16</f>
        <v>0</v>
      </c>
      <c r="P24" s="23" t="n">
        <f aca="false">P15*Assumptions!$E$16</f>
        <v>0</v>
      </c>
      <c r="Q24" s="23" t="n">
        <f aca="false">Q15*Assumptions!$E$16</f>
        <v>0</v>
      </c>
      <c r="R24" s="23" t="n">
        <f aca="false">R15*Assumptions!$E$16</f>
        <v>0</v>
      </c>
      <c r="S24" s="23" t="n">
        <f aca="false">S15*Assumptions!$E$16</f>
        <v>0</v>
      </c>
      <c r="T24" s="23" t="n">
        <f aca="false">T15*Assumptions!$E$16</f>
        <v>0</v>
      </c>
      <c r="U24" s="23" t="n">
        <f aca="false">U15*Assumptions!$E$16</f>
        <v>0</v>
      </c>
      <c r="V24" s="23" t="n">
        <f aca="false">V15*Assumptions!$E$16</f>
        <v>0</v>
      </c>
      <c r="W24" s="23" t="n">
        <f aca="false">W15*Assumptions!$E$16</f>
        <v>0</v>
      </c>
      <c r="X24" s="23" t="n">
        <f aca="false">X15*Assumptions!$E$16</f>
        <v>0</v>
      </c>
      <c r="Y24" s="23" t="n">
        <f aca="false">Y15*Assumptions!$E$16</f>
        <v>0</v>
      </c>
      <c r="Z24" s="23" t="n">
        <f aca="false">Z15*Assumptions!$E$16</f>
        <v>0</v>
      </c>
      <c r="AA24" s="23" t="n">
        <f aca="false">AA15*Assumptions!$E$16</f>
        <v>0</v>
      </c>
      <c r="AB24" s="23" t="n">
        <f aca="false">AB15*Assumptions!$E$16</f>
        <v>0</v>
      </c>
      <c r="AC24" s="23" t="n">
        <f aca="false">AC15*Assumptions!$E$16</f>
        <v>0</v>
      </c>
      <c r="AD24" s="23" t="n">
        <f aca="false">AD15*Assumptions!$E$16</f>
        <v>0</v>
      </c>
      <c r="AE24" s="23" t="n">
        <f aca="false">AE15*Assumptions!$E$16</f>
        <v>0</v>
      </c>
      <c r="AF24" s="23" t="n">
        <f aca="false">AF15*Assumptions!$E$16</f>
        <v>0</v>
      </c>
      <c r="AG24" s="23" t="n">
        <f aca="false">AG15*Assumptions!$E$16</f>
        <v>98745.1479327857</v>
      </c>
      <c r="AH24" s="23" t="n">
        <f aca="false">AH15*Assumptions!$E$16</f>
        <v>189595.069760092</v>
      </c>
      <c r="AI24" s="23" t="n">
        <f aca="false">AI15*Assumptions!$E$16</f>
        <v>273181.032906815</v>
      </c>
      <c r="AJ24" s="23" t="n">
        <f aca="false">AJ15*Assumptions!$E$16</f>
        <v>368509.296254074</v>
      </c>
      <c r="AK24" s="23" t="n">
        <f aca="false">AK15*Assumptions!$E$16</f>
        <v>442987.180739423</v>
      </c>
      <c r="AL24" s="23" t="n">
        <f aca="false">AL15*Assumptions!$E$16</f>
        <v>588236.663729613</v>
      </c>
      <c r="AM24" s="23" t="n">
        <f aca="false">AM15*Assumptions!$E$16</f>
        <v>545826.594973992</v>
      </c>
      <c r="AN24" s="23" t="n">
        <f aca="false">AN15*Assumptions!$E$16</f>
        <v>600929.857994749</v>
      </c>
      <c r="AO24" s="23" t="n">
        <f aca="false">AO15*Assumptions!$E$16</f>
        <v>685923.481436681</v>
      </c>
      <c r="AP24" s="23" t="n">
        <f aca="false">AP15*Assumptions!$E$16</f>
        <v>808524.561834878</v>
      </c>
      <c r="AQ24" s="23" t="n">
        <f aca="false">AQ15*Assumptions!$E$16</f>
        <v>780195.449351699</v>
      </c>
      <c r="AR24" s="23" t="n">
        <f aca="false">AR15*Assumptions!$E$16</f>
        <v>862844.562800981</v>
      </c>
      <c r="AS24" s="23" t="n">
        <f aca="false">AS15*Assumptions!$E$16</f>
        <v>816995.199993173</v>
      </c>
      <c r="AT24" s="23" t="n">
        <f aca="false">AT15*Assumptions!$E$16</f>
        <v>850417.018465472</v>
      </c>
      <c r="AU24" s="23" t="n">
        <f aca="false">AU15*Assumptions!$E$16</f>
        <v>881166.575877665</v>
      </c>
      <c r="AV24" s="23" t="n">
        <f aca="false">AV15*Assumptions!$E$16</f>
        <v>957323.720449555</v>
      </c>
      <c r="AW24" s="23" t="n">
        <f aca="false">AW15*Assumptions!$E$16</f>
        <v>984722.602973657</v>
      </c>
      <c r="AX24" s="23" t="n">
        <f aca="false">AX15*Assumptions!$E$16</f>
        <v>1161420.4105781</v>
      </c>
      <c r="AY24" s="23" t="n">
        <f aca="false">AY15*Assumptions!$E$16</f>
        <v>981467.272888812</v>
      </c>
      <c r="AZ24" s="23" t="n">
        <f aca="false">AZ15*Assumptions!$E$16</f>
        <v>1001738.63049561</v>
      </c>
      <c r="BA24" s="23" t="n">
        <f aca="false">BA15*Assumptions!$E$16</f>
        <v>1074093.87351442</v>
      </c>
      <c r="BB24" s="23" t="n">
        <f aca="false">BB15*Assumptions!$E$16</f>
        <v>1201371.96310604</v>
      </c>
      <c r="BC24" s="23" t="n">
        <f aca="false">BC15*Assumptions!$E$16</f>
        <v>1108774.59238913</v>
      </c>
      <c r="BD24" s="23" t="n">
        <f aca="false">BD15*Assumptions!$E$16</f>
        <v>1180267.33838202</v>
      </c>
      <c r="BE24" s="23" t="n">
        <f aca="false">BE15*Assumptions!$E$16</f>
        <v>1081224.62776651</v>
      </c>
      <c r="BF24" s="23" t="n">
        <f aca="false">BF15*Assumptions!$E$16</f>
        <v>1093519.82766903</v>
      </c>
      <c r="BG24" s="23" t="n">
        <f aca="false">BG15*Assumptions!$E$16</f>
        <v>1104831.9576661</v>
      </c>
      <c r="BH24" s="23" t="n">
        <f aca="false">BH15*Assumptions!$E$16</f>
        <v>1173936.44177627</v>
      </c>
      <c r="BI24" s="23" t="n">
        <f aca="false">BI15*Assumptions!$E$16</f>
        <v>1184015.92736796</v>
      </c>
      <c r="BJ24" s="23" t="n">
        <f aca="false">BJ15*Assumptions!$E$16</f>
        <v>1372282.92705727</v>
      </c>
    </row>
    <row r="25" customFormat="false" ht="15" hidden="false" customHeight="false" outlineLevel="0" collapsed="false">
      <c r="A25" s="28" t="str">
        <f aca="false">Assumptions!A17</f>
        <v>Regional: Guinea-Bissau (Bissau)</v>
      </c>
      <c r="B25" s="16" t="s">
        <v>194</v>
      </c>
      <c r="C25" s="23" t="n">
        <f aca="false">C16*Assumptions!$E$17</f>
        <v>0</v>
      </c>
      <c r="D25" s="23" t="n">
        <f aca="false">D16*Assumptions!$E$17</f>
        <v>0</v>
      </c>
      <c r="E25" s="23" t="n">
        <f aca="false">E16*Assumptions!$E$17</f>
        <v>0</v>
      </c>
      <c r="F25" s="23" t="n">
        <f aca="false">F16*Assumptions!$E$17</f>
        <v>0</v>
      </c>
      <c r="G25" s="23" t="n">
        <f aca="false">G16*Assumptions!$E$17</f>
        <v>0</v>
      </c>
      <c r="H25" s="23" t="n">
        <f aca="false">H16*Assumptions!$E$17</f>
        <v>0</v>
      </c>
      <c r="I25" s="23" t="n">
        <f aca="false">I16*Assumptions!$E$17</f>
        <v>0</v>
      </c>
      <c r="J25" s="23" t="n">
        <f aca="false">J16*Assumptions!$E$17</f>
        <v>0</v>
      </c>
      <c r="K25" s="23" t="n">
        <f aca="false">K16*Assumptions!$E$17</f>
        <v>0</v>
      </c>
      <c r="L25" s="23" t="n">
        <f aca="false">L16*Assumptions!$E$17</f>
        <v>0</v>
      </c>
      <c r="M25" s="23" t="n">
        <f aca="false">M16*Assumptions!$E$17</f>
        <v>0</v>
      </c>
      <c r="N25" s="23" t="n">
        <f aca="false">N16*Assumptions!$E$17</f>
        <v>0</v>
      </c>
      <c r="O25" s="23" t="n">
        <f aca="false">O16*Assumptions!$E$17</f>
        <v>0</v>
      </c>
      <c r="P25" s="23" t="n">
        <f aca="false">P16*Assumptions!$E$17</f>
        <v>0</v>
      </c>
      <c r="Q25" s="23" t="n">
        <f aca="false">Q16*Assumptions!$E$17</f>
        <v>0</v>
      </c>
      <c r="R25" s="23" t="n">
        <f aca="false">R16*Assumptions!$E$17</f>
        <v>0</v>
      </c>
      <c r="S25" s="23" t="n">
        <f aca="false">S16*Assumptions!$E$17</f>
        <v>0</v>
      </c>
      <c r="T25" s="23" t="n">
        <f aca="false">T16*Assumptions!$E$17</f>
        <v>0</v>
      </c>
      <c r="U25" s="23" t="n">
        <f aca="false">U16*Assumptions!$E$17</f>
        <v>0</v>
      </c>
      <c r="V25" s="23" t="n">
        <f aca="false">V16*Assumptions!$E$17</f>
        <v>0</v>
      </c>
      <c r="W25" s="23" t="n">
        <f aca="false">W16*Assumptions!$E$17</f>
        <v>0</v>
      </c>
      <c r="X25" s="23" t="n">
        <f aca="false">X16*Assumptions!$E$17</f>
        <v>0</v>
      </c>
      <c r="Y25" s="23" t="n">
        <f aca="false">Y16*Assumptions!$E$17</f>
        <v>0</v>
      </c>
      <c r="Z25" s="23" t="n">
        <f aca="false">Z16*Assumptions!$E$17</f>
        <v>0</v>
      </c>
      <c r="AA25" s="23" t="n">
        <f aca="false">AA16*Assumptions!$E$17</f>
        <v>0</v>
      </c>
      <c r="AB25" s="23" t="n">
        <f aca="false">AB16*Assumptions!$E$17</f>
        <v>0</v>
      </c>
      <c r="AC25" s="23" t="n">
        <f aca="false">AC16*Assumptions!$E$17</f>
        <v>0</v>
      </c>
      <c r="AD25" s="23" t="n">
        <f aca="false">AD16*Assumptions!$E$17</f>
        <v>0</v>
      </c>
      <c r="AE25" s="23" t="n">
        <f aca="false">AE16*Assumptions!$E$17</f>
        <v>0</v>
      </c>
      <c r="AF25" s="23" t="n">
        <f aca="false">AF16*Assumptions!$E$17</f>
        <v>0</v>
      </c>
      <c r="AG25" s="23" t="n">
        <f aca="false">AG16*Assumptions!$E$17</f>
        <v>58487.51069865</v>
      </c>
      <c r="AH25" s="23" t="n">
        <f aca="false">AH16*Assumptions!$E$17</f>
        <v>112298.618242516</v>
      </c>
      <c r="AI25" s="23" t="n">
        <f aca="false">AI16*Assumptions!$E$17</f>
        <v>161807.227183267</v>
      </c>
      <c r="AJ25" s="23" t="n">
        <f aca="false">AJ16*Assumptions!$E$17</f>
        <v>218270.890858182</v>
      </c>
      <c r="AK25" s="23" t="n">
        <f aca="false">AK16*Assumptions!$E$17</f>
        <v>262384.714745658</v>
      </c>
      <c r="AL25" s="23" t="n">
        <f aca="false">AL16*Assumptions!$E$17</f>
        <v>348417.100824463</v>
      </c>
      <c r="AM25" s="23" t="n">
        <f aca="false">AM16*Assumptions!$E$17</f>
        <v>323297.290869211</v>
      </c>
      <c r="AN25" s="23" t="n">
        <f aca="false">AN16*Assumptions!$E$17</f>
        <v>355935.377427659</v>
      </c>
      <c r="AO25" s="23" t="n">
        <f aca="false">AO16*Assumptions!$E$17</f>
        <v>406277.754389419</v>
      </c>
      <c r="AP25" s="23" t="n">
        <f aca="false">AP16*Assumptions!$E$17</f>
        <v>478895.317394505</v>
      </c>
      <c r="AQ25" s="23" t="n">
        <f aca="false">AQ16*Assumptions!$E$17</f>
        <v>462115.766154468</v>
      </c>
      <c r="AR25" s="23" t="n">
        <f aca="false">AR16*Assumptions!$E$17</f>
        <v>511069.471812889</v>
      </c>
      <c r="AS25" s="23" t="n">
        <f aca="false">AS16*Assumptions!$E$17</f>
        <v>483912.541534418</v>
      </c>
      <c r="AT25" s="23" t="n">
        <f aca="false">AT16*Assumptions!$E$17</f>
        <v>503708.541706472</v>
      </c>
      <c r="AU25" s="23" t="n">
        <f aca="false">AU16*Assumptions!$E$17</f>
        <v>521921.741096771</v>
      </c>
      <c r="AV25" s="23" t="n">
        <f aca="false">AV16*Assumptions!$E$17</f>
        <v>567030.203650891</v>
      </c>
      <c r="AW25" s="23" t="n">
        <f aca="false">AW16*Assumptions!$E$17</f>
        <v>583258.772530551</v>
      </c>
      <c r="AX25" s="23" t="n">
        <f aca="false">AX16*Assumptions!$E$17</f>
        <v>687918.243188565</v>
      </c>
      <c r="AY25" s="23" t="n">
        <f aca="false">AY16*Assumptions!$E$17</f>
        <v>581330.615480296</v>
      </c>
      <c r="AZ25" s="23" t="n">
        <f aca="false">AZ16*Assumptions!$E$17</f>
        <v>593337.496524324</v>
      </c>
      <c r="BA25" s="23" t="n">
        <f aca="false">BA16*Assumptions!$E$17</f>
        <v>636194.063543157</v>
      </c>
      <c r="BB25" s="23" t="n">
        <f aca="false">BB16*Assumptions!$E$17</f>
        <v>711581.855070499</v>
      </c>
      <c r="BC25" s="23" t="n">
        <f aca="false">BC16*Assumptions!$E$17</f>
        <v>656735.720107408</v>
      </c>
      <c r="BD25" s="23" t="n">
        <f aca="false">BD16*Assumptions!$E$17</f>
        <v>699081.423503199</v>
      </c>
      <c r="BE25" s="23" t="n">
        <f aca="false">BE16*Assumptions!$E$17</f>
        <v>640417.664138624</v>
      </c>
      <c r="BF25" s="23" t="n">
        <f aca="false">BF16*Assumptions!$E$17</f>
        <v>647700.205619349</v>
      </c>
      <c r="BG25" s="23" t="n">
        <f aca="false">BG16*Assumptions!$E$17</f>
        <v>654400.467232996</v>
      </c>
      <c r="BH25" s="23" t="n">
        <f aca="false">BH16*Assumptions!$E$17</f>
        <v>695331.584744408</v>
      </c>
      <c r="BI25" s="23" t="n">
        <f aca="false">BI16*Assumptions!$E$17</f>
        <v>701301.74159487</v>
      </c>
      <c r="BJ25" s="23" t="n">
        <f aca="false">BJ16*Assumptions!$E$17</f>
        <v>812813.733718538</v>
      </c>
    </row>
    <row r="26" customFormat="false" ht="15" hidden="false" customHeight="false" outlineLevel="0" collapsed="false">
      <c r="A26" s="4" t="s">
        <v>195</v>
      </c>
      <c r="B26" s="16" t="s">
        <v>194</v>
      </c>
      <c r="C26" s="19" t="n">
        <f aca="false">SUM(C20:C25)</f>
        <v>0</v>
      </c>
      <c r="D26" s="19" t="n">
        <f aca="false">SUM(D20:D25)</f>
        <v>0</v>
      </c>
      <c r="E26" s="19" t="n">
        <f aca="false">SUM(E20:E25)</f>
        <v>0</v>
      </c>
      <c r="F26" s="19" t="n">
        <f aca="false">SUM(F20:F25)</f>
        <v>0</v>
      </c>
      <c r="G26" s="19" t="n">
        <f aca="false">SUM(G20:G25)</f>
        <v>0</v>
      </c>
      <c r="H26" s="19" t="n">
        <f aca="false">SUM(H20:H25)</f>
        <v>0</v>
      </c>
      <c r="I26" s="19" t="n">
        <f aca="false">SUM(I20:I25)</f>
        <v>0</v>
      </c>
      <c r="J26" s="19" t="n">
        <f aca="false">SUM(J20:J25)</f>
        <v>0</v>
      </c>
      <c r="K26" s="19" t="n">
        <f aca="false">SUM(K20:K25)</f>
        <v>0</v>
      </c>
      <c r="L26" s="19" t="n">
        <f aca="false">SUM(L20:L25)</f>
        <v>0</v>
      </c>
      <c r="M26" s="19" t="n">
        <f aca="false">SUM(M20:M25)</f>
        <v>367795.692705113</v>
      </c>
      <c r="N26" s="19" t="n">
        <f aca="false">SUM(N20:N25)</f>
        <v>812111.675328651</v>
      </c>
      <c r="O26" s="19" t="n">
        <f aca="false">SUM(O20:O25)</f>
        <v>966640.577977961</v>
      </c>
      <c r="P26" s="19" t="n">
        <f aca="false">SUM(P20:P25)</f>
        <v>1238758.17279254</v>
      </c>
      <c r="Q26" s="19" t="n">
        <f aca="false">SUM(Q20:Q25)</f>
        <v>1900108.33621997</v>
      </c>
      <c r="R26" s="19" t="n">
        <f aca="false">SUM(R20:R25)</f>
        <v>2693454.48875463</v>
      </c>
      <c r="S26" s="19" t="n">
        <f aca="false">SUM(S20:S25)</f>
        <v>2953227.07188074</v>
      </c>
      <c r="T26" s="19" t="n">
        <f aca="false">SUM(T20:T25)</f>
        <v>3588386.55048627</v>
      </c>
      <c r="U26" s="19" t="n">
        <f aca="false">SUM(U20:U25)</f>
        <v>3880312.61227604</v>
      </c>
      <c r="V26" s="19" t="n">
        <f aca="false">SUM(V20:V25)</f>
        <v>4463323.74570149</v>
      </c>
      <c r="W26" s="19" t="n">
        <f aca="false">SUM(W20:W25)</f>
        <v>4999719.88267629</v>
      </c>
      <c r="X26" s="19" t="n">
        <f aca="false">SUM(X20:X25)</f>
        <v>5782345.42371441</v>
      </c>
      <c r="Y26" s="19" t="n">
        <f aca="false">SUM(Y20:Y25)</f>
        <v>6260292.29450503</v>
      </c>
      <c r="Z26" s="19" t="n">
        <f aca="false">SUM(Z20:Z25)</f>
        <v>7705028.33998533</v>
      </c>
      <c r="AA26" s="19" t="n">
        <f aca="false">SUM(AA20:AA25)</f>
        <v>6949896.64641516</v>
      </c>
      <c r="AB26" s="19" t="n">
        <f aca="false">SUM(AB20:AB25)</f>
        <v>7488005.99965619</v>
      </c>
      <c r="AC26" s="19" t="n">
        <f aca="false">SUM(AC20:AC25)</f>
        <v>8403253.16270042</v>
      </c>
      <c r="AD26" s="19" t="n">
        <f aca="false">SUM(AD20:AD25)</f>
        <v>9770999.22303611</v>
      </c>
      <c r="AE26" s="19" t="n">
        <f aca="false">SUM(AE20:AE25)</f>
        <v>9323863.39343031</v>
      </c>
      <c r="AF26" s="19" t="n">
        <f aca="false">SUM(AF20:AF25)</f>
        <v>10216215.3105916</v>
      </c>
      <c r="AG26" s="19" t="n">
        <f aca="false">SUM(AG20:AG25)</f>
        <v>9755218.63164741</v>
      </c>
      <c r="AH26" s="19" t="n">
        <f aca="false">SUM(AH20:AH25)</f>
        <v>10226259.4820374</v>
      </c>
      <c r="AI26" s="19" t="n">
        <f aca="false">SUM(AI20:AI25)</f>
        <v>10659637.985501</v>
      </c>
      <c r="AJ26" s="19" t="n">
        <f aca="false">SUM(AJ20:AJ25)</f>
        <v>11640384.6916137</v>
      </c>
      <c r="AK26" s="19" t="n">
        <f aca="false">SUM(AK20:AK25)</f>
        <v>12026539.4107109</v>
      </c>
      <c r="AL26" s="19" t="n">
        <f aca="false">SUM(AL20:AL25)</f>
        <v>14239091.7386789</v>
      </c>
      <c r="AM26" s="19" t="n">
        <f aca="false">SUM(AM20:AM25)</f>
        <v>12073257.2251004</v>
      </c>
      <c r="AN26" s="19" t="n">
        <f aca="false">SUM(AN20:AN25)</f>
        <v>12358957.942839</v>
      </c>
      <c r="AO26" s="19" t="n">
        <f aca="false">SUM(AO20:AO25)</f>
        <v>13286121.3604737</v>
      </c>
      <c r="AP26" s="19" t="n">
        <f aca="false">SUM(AP20:AP25)</f>
        <v>14894759.2649309</v>
      </c>
      <c r="AQ26" s="19" t="n">
        <f aca="false">SUM(AQ20:AQ25)</f>
        <v>13774904.9173714</v>
      </c>
      <c r="AR26" s="19" t="n">
        <f aca="false">SUM(AR20:AR25)</f>
        <v>14689912.4634492</v>
      </c>
      <c r="AS26" s="19" t="n">
        <f aca="false">SUM(AS20:AS25)</f>
        <v>13479218.7024267</v>
      </c>
      <c r="AT26" s="19" t="n">
        <f aca="false">SUM(AT20:AT25)</f>
        <v>13652504.9472371</v>
      </c>
      <c r="AU26" s="19" t="n">
        <f aca="false">SUM(AU20:AU25)</f>
        <v>13811935.988907</v>
      </c>
      <c r="AV26" s="19" t="n">
        <f aca="false">SUM(AV20:AV25)</f>
        <v>14693283.8192778</v>
      </c>
      <c r="AW26" s="19" t="n">
        <f aca="false">SUM(AW20:AW25)</f>
        <v>14835342.201545</v>
      </c>
      <c r="AX26" s="19" t="n">
        <f aca="false">SUM(AX20:AX25)</f>
        <v>17210948.5561064</v>
      </c>
      <c r="AY26" s="19" t="n">
        <f aca="false">SUM(AY20:AY25)</f>
        <v>14331977.4448</v>
      </c>
      <c r="AZ26" s="19" t="n">
        <f aca="false">SUM(AZ20:AZ25)</f>
        <v>14437080.865184</v>
      </c>
      <c r="BA26" s="19" t="n">
        <f aca="false">SUM(BA20:BA25)</f>
        <v>15298716.5053334</v>
      </c>
      <c r="BB26" s="19" t="n">
        <f aca="false">SUM(BB20:BB25)</f>
        <v>16931603.8790629</v>
      </c>
      <c r="BC26" s="19" t="n">
        <f aca="false">SUM(BC20:BC25)</f>
        <v>15478529.9270987</v>
      </c>
      <c r="BD26" s="19" t="n">
        <f aca="false">SUM(BD20:BD25)</f>
        <v>16335693.6720128</v>
      </c>
      <c r="BE26" s="19" t="n">
        <f aca="false">SUM(BE20:BE25)</f>
        <v>14849201.7673874</v>
      </c>
      <c r="BF26" s="19" t="n">
        <f aca="false">SUM(BF20:BF25)</f>
        <v>14912950.214291</v>
      </c>
      <c r="BG26" s="19" t="n">
        <f aca="false">SUM(BG20:BG25)</f>
        <v>14971601.6168059</v>
      </c>
      <c r="BH26" s="19" t="n">
        <f aca="false">SUM(BH20:BH25)</f>
        <v>15816382.6443157</v>
      </c>
      <c r="BI26" s="19" t="n">
        <f aca="false">SUM(BI20:BI25)</f>
        <v>15868643.0025978</v>
      </c>
      <c r="BJ26" s="19" t="n">
        <f aca="false">SUM(BJ20:BJ25)</f>
        <v>18304233.5813432</v>
      </c>
    </row>
    <row r="27" customFormat="false" ht="15" hidden="false" customHeight="false" outlineLevel="0" collapsed="false">
      <c r="A27" s="6" t="s">
        <v>196</v>
      </c>
      <c r="B27" s="16" t="s">
        <v>194</v>
      </c>
      <c r="C27" s="23" t="n">
        <f aca="false">SUMPRODUCT(C20:C25,Assumptions!$I$12:$I$17)</f>
        <v>0</v>
      </c>
      <c r="D27" s="23" t="n">
        <f aca="false">SUMPRODUCT(D20:D25,Assumptions!$I$12:$I$17)</f>
        <v>0</v>
      </c>
      <c r="E27" s="23" t="n">
        <f aca="false">SUMPRODUCT(E20:E25,Assumptions!$I$12:$I$17)</f>
        <v>0</v>
      </c>
      <c r="F27" s="23" t="n">
        <f aca="false">SUMPRODUCT(F20:F25,Assumptions!$I$12:$I$17)</f>
        <v>0</v>
      </c>
      <c r="G27" s="23" t="n">
        <f aca="false">SUMPRODUCT(G20:G25,Assumptions!$I$12:$I$17)</f>
        <v>0</v>
      </c>
      <c r="H27" s="23" t="n">
        <f aca="false">SUMPRODUCT(H20:H25,Assumptions!$I$12:$I$17)</f>
        <v>0</v>
      </c>
      <c r="I27" s="23" t="n">
        <f aca="false">SUMPRODUCT(I20:I25,Assumptions!$I$12:$I$17)</f>
        <v>0</v>
      </c>
      <c r="J27" s="23" t="n">
        <f aca="false">SUMPRODUCT(J20:J25,Assumptions!$I$12:$I$17)</f>
        <v>0</v>
      </c>
      <c r="K27" s="23" t="n">
        <f aca="false">SUMPRODUCT(K20:K25,Assumptions!$I$12:$I$17)</f>
        <v>0</v>
      </c>
      <c r="L27" s="23" t="n">
        <f aca="false">SUMPRODUCT(L20:L25,Assumptions!$I$12:$I$17)</f>
        <v>0</v>
      </c>
      <c r="M27" s="23" t="n">
        <f aca="false">SUMPRODUCT(M20:M25,Assumptions!$I$12:$I$17)</f>
        <v>367795.692705113</v>
      </c>
      <c r="N27" s="23" t="n">
        <f aca="false">SUMPRODUCT(N20:N25,Assumptions!$I$12:$I$17)</f>
        <v>812111.675328651</v>
      </c>
      <c r="O27" s="23" t="n">
        <f aca="false">SUMPRODUCT(O20:O25,Assumptions!$I$12:$I$17)</f>
        <v>966640.577977961</v>
      </c>
      <c r="P27" s="23" t="n">
        <f aca="false">SUMPRODUCT(P20:P25,Assumptions!$I$12:$I$17)</f>
        <v>1238758.17279254</v>
      </c>
      <c r="Q27" s="23" t="n">
        <f aca="false">SUMPRODUCT(Q20:Q25,Assumptions!$I$12:$I$17)</f>
        <v>1900108.33621997</v>
      </c>
      <c r="R27" s="23" t="n">
        <f aca="false">SUMPRODUCT(R20:R25,Assumptions!$I$12:$I$17)</f>
        <v>2693454.48875463</v>
      </c>
      <c r="S27" s="23" t="n">
        <f aca="false">SUMPRODUCT(S20:S25,Assumptions!$I$12:$I$17)</f>
        <v>2953227.07188074</v>
      </c>
      <c r="T27" s="23" t="n">
        <f aca="false">SUMPRODUCT(T20:T25,Assumptions!$I$12:$I$17)</f>
        <v>3588386.55048627</v>
      </c>
      <c r="U27" s="23" t="n">
        <f aca="false">SUMPRODUCT(U20:U25,Assumptions!$I$12:$I$17)</f>
        <v>3880312.61227604</v>
      </c>
      <c r="V27" s="23" t="n">
        <f aca="false">SUMPRODUCT(V20:V25,Assumptions!$I$12:$I$17)</f>
        <v>4463323.74570149</v>
      </c>
      <c r="W27" s="23" t="n">
        <f aca="false">SUMPRODUCT(W20:W25,Assumptions!$I$12:$I$17)</f>
        <v>4999719.88267629</v>
      </c>
      <c r="X27" s="23" t="n">
        <f aca="false">SUMPRODUCT(X20:X25,Assumptions!$I$12:$I$17)</f>
        <v>5782345.42371441</v>
      </c>
      <c r="Y27" s="23" t="n">
        <f aca="false">SUMPRODUCT(Y20:Y25,Assumptions!$I$12:$I$17)</f>
        <v>6260292.29450503</v>
      </c>
      <c r="Z27" s="23" t="n">
        <f aca="false">SUMPRODUCT(Z20:Z25,Assumptions!$I$12:$I$17)</f>
        <v>7705028.33998533</v>
      </c>
      <c r="AA27" s="23" t="n">
        <f aca="false">SUMPRODUCT(AA20:AA25,Assumptions!$I$12:$I$17)</f>
        <v>6749368.0383055</v>
      </c>
      <c r="AB27" s="23" t="n">
        <f aca="false">SUMPRODUCT(AB20:AB25,Assumptions!$I$12:$I$17)</f>
        <v>7102982.16568185</v>
      </c>
      <c r="AC27" s="23" t="n">
        <f aca="false">SUMPRODUCT(AC20:AC25,Assumptions!$I$12:$I$17)</f>
        <v>7819287.23000892</v>
      </c>
      <c r="AD27" s="23" t="n">
        <f aca="false">SUMPRODUCT(AD20:AD25,Assumptions!$I$12:$I$17)</f>
        <v>8947806.14894239</v>
      </c>
      <c r="AE27" s="23" t="n">
        <f aca="false">SUMPRODUCT(AE20:AE25,Assumptions!$I$12:$I$17)</f>
        <v>8424258.65715949</v>
      </c>
      <c r="AF27" s="23" t="n">
        <f aca="false">SUMPRODUCT(AF20:AF25,Assumptions!$I$12:$I$17)</f>
        <v>9125518.29931504</v>
      </c>
      <c r="AG27" s="23" t="n">
        <f aca="false">SUMPRODUCT(AG20:AG25,Assumptions!$I$12:$I$17)</f>
        <v>8489538.11860726</v>
      </c>
      <c r="AH27" s="23" t="n">
        <f aca="false">SUMPRODUCT(AH20:AH25,Assumptions!$I$12:$I$17)</f>
        <v>8704015.92856854</v>
      </c>
      <c r="AI27" s="23" t="n">
        <f aca="false">SUMPRODUCT(AI20:AI25,Assumptions!$I$12:$I$17)</f>
        <v>8901345.03968535</v>
      </c>
      <c r="AJ27" s="23" t="n">
        <f aca="false">SUMPRODUCT(AJ20:AJ25,Assumptions!$I$12:$I$17)</f>
        <v>9560943.77496015</v>
      </c>
      <c r="AK27" s="23" t="n">
        <f aca="false">SUMPRODUCT(AK20:AK25,Assumptions!$I$12:$I$17)</f>
        <v>9736770.60269624</v>
      </c>
      <c r="AL27" s="23" t="n">
        <f aca="false">SUMPRODUCT(AL20:AL25,Assumptions!$I$12:$I$17)</f>
        <v>11383319.9575213</v>
      </c>
      <c r="AM27" s="23" t="n">
        <f aca="false">SUMPRODUCT(AM20:AM25,Assumptions!$I$12:$I$17)</f>
        <v>9545004.62542487</v>
      </c>
      <c r="AN27" s="23" t="n">
        <f aca="false">SUMPRODUCT(AN20:AN25,Assumptions!$I$12:$I$17)</f>
        <v>9675091.99299441</v>
      </c>
      <c r="AO27" s="23" t="n">
        <f aca="false">SUMPRODUCT(AO20:AO25,Assumptions!$I$12:$I$17)</f>
        <v>10310292.7883585</v>
      </c>
      <c r="AP27" s="23" t="n">
        <f aca="false">SUMPRODUCT(AP20:AP25,Assumptions!$I$12:$I$17)</f>
        <v>11468825.4747895</v>
      </c>
      <c r="AQ27" s="23" t="n">
        <f aca="false">SUMPRODUCT(AQ20:AQ25,Assumptions!$I$12:$I$17)</f>
        <v>10532849.3389034</v>
      </c>
      <c r="AR27" s="23" t="n">
        <f aca="false">SUMPRODUCT(AR20:AR25,Assumptions!$I$12:$I$17)</f>
        <v>11162515.2327668</v>
      </c>
      <c r="AS27" s="23" t="n">
        <f aca="false">SUMPRODUCT(AS20:AS25,Assumptions!$I$12:$I$17)</f>
        <v>10185177.4221095</v>
      </c>
      <c r="AT27" s="23" t="n">
        <f aca="false">SUMPRODUCT(AT20:AT25,Assumptions!$I$12:$I$17)</f>
        <v>10264079.3989818</v>
      </c>
      <c r="AU27" s="23" t="n">
        <f aca="false">SUMPRODUCT(AU20:AU25,Assumptions!$I$12:$I$17)</f>
        <v>10336672.7221063</v>
      </c>
      <c r="AV27" s="23" t="n">
        <f aca="false">SUMPRODUCT(AV20:AV25,Assumptions!$I$12:$I$17)</f>
        <v>10951012.4248278</v>
      </c>
      <c r="AW27" s="23" t="n">
        <f aca="false">SUMPRODUCT(AW20:AW25,Assumptions!$I$12:$I$17)</f>
        <v>11015695.4999583</v>
      </c>
      <c r="AX27" s="23" t="n">
        <f aca="false">SUMPRODUCT(AX20:AX25,Assumptions!$I$12:$I$17)</f>
        <v>12736487.8222461</v>
      </c>
      <c r="AY27" s="23" t="n">
        <f aca="false">SUMPRODUCT(AY20:AY25,Assumptions!$I$12:$I$17)</f>
        <v>10573461.8508128</v>
      </c>
      <c r="AZ27" s="23" t="n">
        <f aca="false">SUMPRODUCT(AZ20:AZ25,Assumptions!$I$12:$I$17)</f>
        <v>10621318.3188977</v>
      </c>
      <c r="BA27" s="23" t="n">
        <f aca="false">SUMPRODUCT(BA20:BA25,Assumptions!$I$12:$I$17)</f>
        <v>11226682.5211191</v>
      </c>
      <c r="BB27" s="23" t="n">
        <f aca="false">SUMPRODUCT(BB20:BB25,Assumptions!$I$12:$I$17)</f>
        <v>12396256.6555646</v>
      </c>
      <c r="BC27" s="23" t="n">
        <f aca="false">SUMPRODUCT(BC20:BC25,Assumptions!$I$12:$I$17)</f>
        <v>11308556.5005626</v>
      </c>
      <c r="BD27" s="23" t="n">
        <f aca="false">SUMPRODUCT(BD20:BD25,Assumptions!$I$12:$I$17)</f>
        <v>11911884.526313</v>
      </c>
      <c r="BE27" s="23" t="n">
        <f aca="false">SUMPRODUCT(BE20:BE25,Assumptions!$I$12:$I$17)</f>
        <v>10808968.2615103</v>
      </c>
      <c r="BF27" s="23" t="n">
        <f aca="false">SUMPRODUCT(BF20:BF25,Assumptions!$I$12:$I$17)</f>
        <v>10837994.6766694</v>
      </c>
      <c r="BG27" s="23" t="n">
        <f aca="false">SUMPRODUCT(BG20:BG25,Assumptions!$I$12:$I$17)</f>
        <v>10864700.2678132</v>
      </c>
      <c r="BH27" s="23" t="n">
        <f aca="false">SUMPRODUCT(BH20:BH25,Assumptions!$I$12:$I$17)</f>
        <v>11462390.102931</v>
      </c>
      <c r="BI27" s="23" t="n">
        <f aca="false">SUMPRODUCT(BI20:BI25,Assumptions!$I$12:$I$17)</f>
        <v>11486185.6764633</v>
      </c>
      <c r="BJ27" s="23" t="n">
        <f aca="false">SUMPRODUCT(BJ20:BJ25,Assumptions!$I$12:$I$17)</f>
        <v>13234290.4601322</v>
      </c>
    </row>
    <row r="29" customFormat="false" ht="15" hidden="false" customHeight="false" outlineLevel="0" collapsed="false">
      <c r="A29" s="27" t="s">
        <v>197</v>
      </c>
    </row>
    <row r="30" customFormat="false" ht="15" hidden="false" customHeight="false" outlineLevel="0" collapsed="false">
      <c r="A30" s="6" t="s">
        <v>198</v>
      </c>
      <c r="B30" s="16" t="s">
        <v>194</v>
      </c>
      <c r="C30" s="23" t="n">
        <f aca="false">SUMPRODUCT(C20:C25,Assumptions!$F$12:$F$17)</f>
        <v>0</v>
      </c>
      <c r="D30" s="23" t="n">
        <f aca="false">SUMPRODUCT(D20:D25,Assumptions!$F$12:$F$17)</f>
        <v>0</v>
      </c>
      <c r="E30" s="23" t="n">
        <f aca="false">SUMPRODUCT(E20:E25,Assumptions!$F$12:$F$17)</f>
        <v>0</v>
      </c>
      <c r="F30" s="23" t="n">
        <f aca="false">SUMPRODUCT(F20:F25,Assumptions!$F$12:$F$17)</f>
        <v>0</v>
      </c>
      <c r="G30" s="23" t="n">
        <f aca="false">SUMPRODUCT(G20:G25,Assumptions!$F$12:$F$17)</f>
        <v>0</v>
      </c>
      <c r="H30" s="23" t="n">
        <f aca="false">SUMPRODUCT(H20:H25,Assumptions!$F$12:$F$17)</f>
        <v>0</v>
      </c>
      <c r="I30" s="23" t="n">
        <f aca="false">SUMPRODUCT(I20:I25,Assumptions!$F$12:$F$17)</f>
        <v>0</v>
      </c>
      <c r="J30" s="23" t="n">
        <f aca="false">SUMPRODUCT(J20:J25,Assumptions!$F$12:$F$17)</f>
        <v>0</v>
      </c>
      <c r="K30" s="23" t="n">
        <f aca="false">SUMPRODUCT(K20:K25,Assumptions!$F$12:$F$17)</f>
        <v>0</v>
      </c>
      <c r="L30" s="23" t="n">
        <f aca="false">SUMPRODUCT(L20:L25,Assumptions!$F$12:$F$17)</f>
        <v>0</v>
      </c>
      <c r="M30" s="23" t="n">
        <f aca="false">SUMPRODUCT(M20:M25,Assumptions!$F$12:$F$17)</f>
        <v>9194.89231762782</v>
      </c>
      <c r="N30" s="23" t="n">
        <f aca="false">SUMPRODUCT(N20:N25,Assumptions!$F$12:$F$17)</f>
        <v>20302.7918832163</v>
      </c>
      <c r="O30" s="23" t="n">
        <f aca="false">SUMPRODUCT(O20:O25,Assumptions!$F$12:$F$17)</f>
        <v>24166.014449449</v>
      </c>
      <c r="P30" s="23" t="n">
        <f aca="false">SUMPRODUCT(P20:P25,Assumptions!$F$12:$F$17)</f>
        <v>30968.9543198135</v>
      </c>
      <c r="Q30" s="23" t="n">
        <f aca="false">SUMPRODUCT(Q20:Q25,Assumptions!$F$12:$F$17)</f>
        <v>46172.2474649313</v>
      </c>
      <c r="R30" s="23" t="n">
        <f aca="false">SUMPRODUCT(R20:R25,Assumptions!$F$12:$F$17)</f>
        <v>64526.3637112634</v>
      </c>
      <c r="S30" s="23" t="n">
        <f aca="false">SUMPRODUCT(S20:S25,Assumptions!$F$12:$F$17)</f>
        <v>70149.9218273267</v>
      </c>
      <c r="T30" s="23" t="n">
        <f aca="false">SUMPRODUCT(T20:T25,Assumptions!$F$12:$F$17)</f>
        <v>84756.898820502</v>
      </c>
      <c r="U30" s="23" t="n">
        <f aca="false">SUMPRODUCT(U20:U25,Assumptions!$F$12:$F$17)</f>
        <v>91165.3443524968</v>
      </c>
      <c r="V30" s="23" t="n">
        <f aca="false">SUMPRODUCT(V20:V25,Assumptions!$F$12:$F$17)</f>
        <v>104488.076143151</v>
      </c>
      <c r="W30" s="23" t="n">
        <f aca="false">SUMPRODUCT(W20:W25,Assumptions!$F$12:$F$17)</f>
        <v>116745.581114747</v>
      </c>
      <c r="X30" s="23" t="n">
        <f aca="false">SUMPRODUCT(X20:X25,Assumptions!$F$12:$F$17)</f>
        <v>134761.084317005</v>
      </c>
      <c r="Y30" s="23" t="n">
        <f aca="false">SUMPRODUCT(Y20:Y25,Assumptions!$F$12:$F$17)</f>
        <v>145682.930581439</v>
      </c>
      <c r="Z30" s="23" t="n">
        <f aca="false">SUMPRODUCT(Z20:Z25,Assumptions!$F$12:$F$17)</f>
        <v>179091.241369642</v>
      </c>
      <c r="AA30" s="23" t="n">
        <f aca="false">SUMPRODUCT(AA20:AA25,Assumptions!$F$12:$F$17)</f>
        <v>161540.511219042</v>
      </c>
      <c r="AB30" s="23" t="n">
        <f aca="false">SUMPRODUCT(AB20:AB25,Assumptions!$F$12:$F$17)</f>
        <v>174049.041941954</v>
      </c>
      <c r="AC30" s="23" t="n">
        <f aca="false">SUMPRODUCT(AC20:AC25,Assumptions!$F$12:$F$17)</f>
        <v>195323.627125041</v>
      </c>
      <c r="AD30" s="23" t="n">
        <f aca="false">SUMPRODUCT(AD20:AD25,Assumptions!$F$12:$F$17)</f>
        <v>227116.060288488</v>
      </c>
      <c r="AE30" s="23" t="n">
        <f aca="false">SUMPRODUCT(AE20:AE25,Assumptions!$F$12:$F$17)</f>
        <v>216723.51784531</v>
      </c>
      <c r="AF30" s="23" t="n">
        <f aca="false">SUMPRODUCT(AF20:AF25,Assumptions!$F$12:$F$17)</f>
        <v>237465.895430052</v>
      </c>
      <c r="AG30" s="23" t="n">
        <f aca="false">SUMPRODUCT(AG20:AG25,Assumptions!$F$12:$F$17)</f>
        <v>227067.30164496</v>
      </c>
      <c r="AH30" s="23" t="n">
        <f aca="false">SUMPRODUCT(AH20:AH25,Assumptions!$F$12:$F$17)</f>
        <v>238307.673584926</v>
      </c>
      <c r="AI30" s="23" t="n">
        <f aca="false">SUMPRODUCT(AI20:AI25,Assumptions!$F$12:$F$17)</f>
        <v>248649.315006648</v>
      </c>
      <c r="AJ30" s="23" t="n">
        <f aca="false">SUMPRODUCT(AJ20:AJ25,Assumptions!$F$12:$F$17)</f>
        <v>271751.667826109</v>
      </c>
      <c r="AK30" s="23" t="n">
        <f aca="false">SUMPRODUCT(AK20:AK25,Assumptions!$F$12:$F$17)</f>
        <v>280966.415688067</v>
      </c>
      <c r="AL30" s="23" t="n">
        <f aca="false">SUMPRODUCT(AL20:AL25,Assumptions!$F$12:$F$17)</f>
        <v>332861.05193928</v>
      </c>
      <c r="AM30" s="23" t="n">
        <f aca="false">SUMPRODUCT(AM20:AM25,Assumptions!$F$12:$F$17)</f>
        <v>282382.283222535</v>
      </c>
      <c r="AN30" s="23" t="n">
        <f aca="false">SUMPRODUCT(AN20:AN25,Assumptions!$F$12:$F$17)</f>
        <v>289199.913430698</v>
      </c>
      <c r="AO30" s="23" t="n">
        <f aca="false">SUMPRODUCT(AO20:AO25,Assumptions!$F$12:$F$17)</f>
        <v>311023.616868134</v>
      </c>
      <c r="AP30" s="23" t="n">
        <f aca="false">SUMPRODUCT(AP20:AP25,Assumptions!$F$12:$F$17)</f>
        <v>348808.188361368</v>
      </c>
      <c r="AQ30" s="23" t="n">
        <f aca="false">SUMPRODUCT(AQ20:AQ25,Assumptions!$F$12:$F$17)</f>
        <v>322687.380155588</v>
      </c>
      <c r="AR30" s="23" t="n">
        <f aca="false">SUMPRODUCT(AR20:AR25,Assumptions!$F$12:$F$17)</f>
        <v>344221.009988068</v>
      </c>
      <c r="AS30" s="23" t="n">
        <f aca="false">SUMPRODUCT(AS20:AS25,Assumptions!$F$12:$F$17)</f>
        <v>315932.515490774</v>
      </c>
      <c r="AT30" s="23" t="n">
        <f aca="false">SUMPRODUCT(AT20:AT25,Assumptions!$F$12:$F$17)</f>
        <v>320067.617238608</v>
      </c>
      <c r="AU30" s="23" t="n">
        <f aca="false">SUMPRODUCT(AU20:AU25,Assumptions!$F$12:$F$17)</f>
        <v>323872.094505627</v>
      </c>
      <c r="AV30" s="23" t="n">
        <f aca="false">SUMPRODUCT(AV20:AV25,Assumptions!$F$12:$F$17)</f>
        <v>344602.507963928</v>
      </c>
      <c r="AW30" s="23" t="n">
        <f aca="false">SUMPRODUCT(AW20:AW25,Assumptions!$F$12:$F$17)</f>
        <v>347992.424257921</v>
      </c>
      <c r="AX30" s="23" t="n">
        <f aca="false">SUMPRODUCT(AX20:AX25,Assumptions!$F$12:$F$17)</f>
        <v>403777.99248181</v>
      </c>
      <c r="AY30" s="23" t="n">
        <f aca="false">SUMPRODUCT(AY20:AY25,Assumptions!$F$12:$F$17)</f>
        <v>336281.760001941</v>
      </c>
      <c r="AZ30" s="23" t="n">
        <f aca="false">SUMPRODUCT(AZ20:AZ25,Assumptions!$F$12:$F$17)</f>
        <v>338789.825993034</v>
      </c>
      <c r="BA30" s="23" t="n">
        <f aca="false">SUMPRODUCT(BA20:BA25,Assumptions!$F$12:$F$17)</f>
        <v>359049.850631222</v>
      </c>
      <c r="BB30" s="23" t="n">
        <f aca="false">SUMPRODUCT(BB20:BB25,Assumptions!$F$12:$F$17)</f>
        <v>397413.08330372</v>
      </c>
      <c r="BC30" s="23" t="n">
        <f aca="false">SUMPRODUCT(BC20:BC25,Assumptions!$F$12:$F$17)</f>
        <v>363340.709351366</v>
      </c>
      <c r="BD30" s="23" t="n">
        <f aca="false">SUMPRODUCT(BD20:BD25,Assumptions!$F$12:$F$17)</f>
        <v>383494.021873864</v>
      </c>
      <c r="BE30" s="23" t="n">
        <f aca="false">SUMPRODUCT(BE20:BE25,Assumptions!$F$12:$F$17)</f>
        <v>348624.200699953</v>
      </c>
      <c r="BF30" s="23" t="n">
        <f aca="false">SUMPRODUCT(BF20:BF25,Assumptions!$F$12:$F$17)</f>
        <v>350145.419620134</v>
      </c>
      <c r="BG30" s="23" t="n">
        <f aca="false">SUMPRODUCT(BG20:BG25,Assumptions!$F$12:$F$17)</f>
        <v>351545.008591074</v>
      </c>
      <c r="BH30" s="23" t="n">
        <f aca="false">SUMPRODUCT(BH20:BH25,Assumptions!$F$12:$F$17)</f>
        <v>371402.834322699</v>
      </c>
      <c r="BI30" s="23" t="n">
        <f aca="false">SUMPRODUCT(BI20:BI25,Assumptions!$F$12:$F$17)</f>
        <v>372649.914834551</v>
      </c>
      <c r="BJ30" s="23" t="n">
        <f aca="false">SUMPRODUCT(BJ20:BJ25,Assumptions!$F$12:$F$17)</f>
        <v>429866.876938185</v>
      </c>
    </row>
    <row r="31" customFormat="false" ht="15" hidden="false" customHeight="false" outlineLevel="0" collapsed="false">
      <c r="A31" s="6" t="s">
        <v>199</v>
      </c>
      <c r="B31" s="16" t="s">
        <v>194</v>
      </c>
      <c r="C31" s="23" t="n">
        <f aca="false">SUMPRODUCT(C20:C25,Assumptions!$G$12:$G$17)</f>
        <v>0</v>
      </c>
      <c r="D31" s="23" t="n">
        <f aca="false">SUMPRODUCT(D20:D25,Assumptions!$G$12:$G$17)</f>
        <v>0</v>
      </c>
      <c r="E31" s="23" t="n">
        <f aca="false">SUMPRODUCT(E20:E25,Assumptions!$G$12:$G$17)</f>
        <v>0</v>
      </c>
      <c r="F31" s="23" t="n">
        <f aca="false">SUMPRODUCT(F20:F25,Assumptions!$G$12:$G$17)</f>
        <v>0</v>
      </c>
      <c r="G31" s="23" t="n">
        <f aca="false">SUMPRODUCT(G20:G25,Assumptions!$G$12:$G$17)</f>
        <v>0</v>
      </c>
      <c r="H31" s="23" t="n">
        <f aca="false">SUMPRODUCT(H20:H25,Assumptions!$G$12:$G$17)</f>
        <v>0</v>
      </c>
      <c r="I31" s="23" t="n">
        <f aca="false">SUMPRODUCT(I20:I25,Assumptions!$G$12:$G$17)</f>
        <v>0</v>
      </c>
      <c r="J31" s="23" t="n">
        <f aca="false">SUMPRODUCT(J20:J25,Assumptions!$G$12:$G$17)</f>
        <v>0</v>
      </c>
      <c r="K31" s="23" t="n">
        <f aca="false">SUMPRODUCT(K20:K25,Assumptions!$G$12:$G$17)</f>
        <v>0</v>
      </c>
      <c r="L31" s="23" t="n">
        <f aca="false">SUMPRODUCT(L20:L25,Assumptions!$G$12:$G$17)</f>
        <v>0</v>
      </c>
      <c r="M31" s="23" t="n">
        <f aca="false">SUMPRODUCT(M20:M25,Assumptions!$G$12:$G$17)</f>
        <v>5516.93539057669</v>
      </c>
      <c r="N31" s="23" t="n">
        <f aca="false">SUMPRODUCT(N20:N25,Assumptions!$G$12:$G$17)</f>
        <v>12181.6751299298</v>
      </c>
      <c r="O31" s="23" t="n">
        <f aca="false">SUMPRODUCT(O20:O25,Assumptions!$G$12:$G$17)</f>
        <v>14499.6086696694</v>
      </c>
      <c r="P31" s="23" t="n">
        <f aca="false">SUMPRODUCT(P20:P25,Assumptions!$G$12:$G$17)</f>
        <v>18581.3725918881</v>
      </c>
      <c r="Q31" s="23" t="n">
        <f aca="false">SUMPRODUCT(Q20:Q25,Assumptions!$G$12:$G$17)</f>
        <v>28501.6250432996</v>
      </c>
      <c r="R31" s="23" t="n">
        <f aca="false">SUMPRODUCT(R20:R25,Assumptions!$G$12:$G$17)</f>
        <v>40401.8173313194</v>
      </c>
      <c r="S31" s="23" t="n">
        <f aca="false">SUMPRODUCT(S20:S25,Assumptions!$G$12:$G$17)</f>
        <v>44298.4060782111</v>
      </c>
      <c r="T31" s="23" t="n">
        <f aca="false">SUMPRODUCT(T20:T25,Assumptions!$G$12:$G$17)</f>
        <v>53825.798257294</v>
      </c>
      <c r="U31" s="23" t="n">
        <f aca="false">SUMPRODUCT(U20:U25,Assumptions!$G$12:$G$17)</f>
        <v>58204.6891841406</v>
      </c>
      <c r="V31" s="23" t="n">
        <f aca="false">SUMPRODUCT(V20:V25,Assumptions!$G$12:$G$17)</f>
        <v>66949.8561855224</v>
      </c>
      <c r="W31" s="23" t="n">
        <f aca="false">SUMPRODUCT(W20:W25,Assumptions!$G$12:$G$17)</f>
        <v>74995.7982401443</v>
      </c>
      <c r="X31" s="23" t="n">
        <f aca="false">SUMPRODUCT(X20:X25,Assumptions!$G$12:$G$17)</f>
        <v>86735.1813557162</v>
      </c>
      <c r="Y31" s="23" t="n">
        <f aca="false">SUMPRODUCT(Y20:Y25,Assumptions!$G$12:$G$17)</f>
        <v>93904.3844175755</v>
      </c>
      <c r="Z31" s="23" t="n">
        <f aca="false">SUMPRODUCT(Z20:Z25,Assumptions!$G$12:$G$17)</f>
        <v>115575.42509978</v>
      </c>
      <c r="AA31" s="23" t="n">
        <f aca="false">SUMPRODUCT(AA20:AA25,Assumptions!$G$12:$G$17)</f>
        <v>103646.863871898</v>
      </c>
      <c r="AB31" s="23" t="n">
        <f aca="false">SUMPRODUCT(AB20:AB25,Assumptions!$G$12:$G$17)</f>
        <v>111165.01849292</v>
      </c>
      <c r="AC31" s="23" t="n">
        <f aca="false">SUMPRODUCT(AC20:AC25,Assumptions!$G$12:$G$17)</f>
        <v>124296.899642432</v>
      </c>
      <c r="AD31" s="23" t="n">
        <f aca="false">SUMPRODUCT(AD20:AD25,Assumptions!$G$12:$G$17)</f>
        <v>144095.40912326</v>
      </c>
      <c r="AE31" s="23" t="n">
        <f aca="false">SUMPRODUCT(AE20:AE25,Assumptions!$G$12:$G$17)</f>
        <v>137159.136692642</v>
      </c>
      <c r="AF31" s="23" t="n">
        <f aca="false">SUMPRODUCT(AF20:AF25,Assumptions!$G$12:$G$17)</f>
        <v>149971.138625045</v>
      </c>
      <c r="AG31" s="23" t="n">
        <f aca="false">SUMPRODUCT(AG20:AG25,Assumptions!$G$12:$G$17)</f>
        <v>143321.199119053</v>
      </c>
      <c r="AH31" s="23" t="n">
        <f aca="false">SUMPRODUCT(AH20:AH25,Assumptions!$G$12:$G$17)</f>
        <v>150343.922128235</v>
      </c>
      <c r="AI31" s="23" t="n">
        <f aca="false">SUMPRODUCT(AI20:AI25,Assumptions!$G$12:$G$17)</f>
        <v>156805.139208322</v>
      </c>
      <c r="AJ31" s="23" t="n">
        <f aca="false">SUMPRODUCT(AJ20:AJ25,Assumptions!$G$12:$G$17)</f>
        <v>171315.521994278</v>
      </c>
      <c r="AK31" s="23" t="n">
        <f aca="false">SUMPRODUCT(AK20:AK25,Assumptions!$G$12:$G$17)</f>
        <v>177072.682182535</v>
      </c>
      <c r="AL31" s="23" t="n">
        <f aca="false">SUMPRODUCT(AL20:AL25,Assumptions!$G$12:$G$17)</f>
        <v>209724.954046548</v>
      </c>
      <c r="AM31" s="23" t="n">
        <f aca="false">SUMPRODUCT(AM20:AM25,Assumptions!$G$12:$G$17)</f>
        <v>177880.713337271</v>
      </c>
      <c r="AN31" s="23" t="n">
        <f aca="false">SUMPRODUCT(AN20:AN25,Assumptions!$G$12:$G$17)</f>
        <v>182140.210157009</v>
      </c>
      <c r="AO31" s="23" t="n">
        <f aca="false">SUMPRODUCT(AO20:AO25,Assumptions!$G$12:$G$17)</f>
        <v>195851.722542254</v>
      </c>
      <c r="AP31" s="23" t="n">
        <f aca="false">SUMPRODUCT(AP20:AP25,Assumptions!$G$12:$G$17)</f>
        <v>219611.784098218</v>
      </c>
      <c r="AQ31" s="23" t="n">
        <f aca="false">SUMPRODUCT(AQ20:AQ25,Assumptions!$G$12:$G$17)</f>
        <v>203138.970619981</v>
      </c>
      <c r="AR31" s="23" t="n">
        <f aca="false">SUMPRODUCT(AR20:AR25,Assumptions!$G$12:$G$17)</f>
        <v>216669.251762099</v>
      </c>
      <c r="AS31" s="23" t="n">
        <f aca="false">SUMPRODUCT(AS20:AS25,Assumptions!$G$12:$G$17)</f>
        <v>198842.118295395</v>
      </c>
      <c r="AT31" s="23" t="n">
        <f aca="false">SUMPRODUCT(AT20:AT25,Assumptions!$G$12:$G$17)</f>
        <v>201425.633711514</v>
      </c>
      <c r="AU31" s="23" t="n">
        <f aca="false">SUMPRODUCT(AU20:AU25,Assumptions!$G$12:$G$17)</f>
        <v>203802.582640224</v>
      </c>
      <c r="AV31" s="23" t="n">
        <f aca="false">SUMPRODUCT(AV20:AV25,Assumptions!$G$12:$G$17)</f>
        <v>216831.032869413</v>
      </c>
      <c r="AW31" s="23" t="n">
        <f aca="false">SUMPRODUCT(AW20:AW25,Assumptions!$G$12:$G$17)</f>
        <v>218948.973742204</v>
      </c>
      <c r="AX31" s="23" t="n">
        <f aca="false">SUMPRODUCT(AX20:AX25,Assumptions!$G$12:$G$17)</f>
        <v>254032.20942464</v>
      </c>
      <c r="AY31" s="23" t="n">
        <f aca="false">SUMPRODUCT(AY20:AY25,Assumptions!$G$12:$G$17)</f>
        <v>211555.853073149</v>
      </c>
      <c r="AZ31" s="23" t="n">
        <f aca="false">SUMPRODUCT(AZ20:AZ25,Assumptions!$G$12:$G$17)</f>
        <v>213122.834382866</v>
      </c>
      <c r="BA31" s="23" t="n">
        <f aca="false">SUMPRODUCT(BA20:BA25,Assumptions!$G$12:$G$17)</f>
        <v>225857.396615473</v>
      </c>
      <c r="BB31" s="23" t="n">
        <f aca="false">SUMPRODUCT(BB20:BB25,Assumptions!$G$12:$G$17)</f>
        <v>249978.992220297</v>
      </c>
      <c r="BC31" s="23" t="n">
        <f aca="false">SUMPRODUCT(BC20:BC25,Assumptions!$G$12:$G$17)</f>
        <v>228538.225365985</v>
      </c>
      <c r="BD31" s="23" t="n">
        <f aca="false">SUMPRODUCT(BD20:BD25,Assumptions!$G$12:$G$17)</f>
        <v>241206.116350148</v>
      </c>
      <c r="BE31" s="23" t="n">
        <f aca="false">SUMPRODUCT(BE20:BE25,Assumptions!$G$12:$G$17)</f>
        <v>219267.123015312</v>
      </c>
      <c r="BF31" s="23" t="n">
        <f aca="false">SUMPRODUCT(BF20:BF25,Assumptions!$G$12:$G$17)</f>
        <v>220217.545222852</v>
      </c>
      <c r="BG31" s="23" t="n">
        <f aca="false">SUMPRODUCT(BG20:BG25,Assumptions!$G$12:$G$17)</f>
        <v>221091.975866439</v>
      </c>
      <c r="BH31" s="23" t="n">
        <f aca="false">SUMPRODUCT(BH20:BH25,Assumptions!$G$12:$G$17)</f>
        <v>233575.253574791</v>
      </c>
      <c r="BI31" s="23" t="n">
        <f aca="false">SUMPRODUCT(BI20:BI25,Assumptions!$G$12:$G$17)</f>
        <v>234354.400479508</v>
      </c>
      <c r="BJ31" s="23" t="n">
        <f aca="false">SUMPRODUCT(BJ20:BJ25,Assumptions!$G$12:$G$17)</f>
        <v>270331.937772973</v>
      </c>
    </row>
    <row r="32" customFormat="false" ht="15" hidden="false" customHeight="false" outlineLevel="0" collapsed="false">
      <c r="A32" s="4" t="s">
        <v>200</v>
      </c>
      <c r="B32" s="16" t="s">
        <v>194</v>
      </c>
      <c r="C32" s="19" t="n">
        <f aca="false">C30+C31</f>
        <v>0</v>
      </c>
      <c r="D32" s="19" t="n">
        <f aca="false">D30+D31</f>
        <v>0</v>
      </c>
      <c r="E32" s="19" t="n">
        <f aca="false">E30+E31</f>
        <v>0</v>
      </c>
      <c r="F32" s="19" t="n">
        <f aca="false">F30+F31</f>
        <v>0</v>
      </c>
      <c r="G32" s="19" t="n">
        <f aca="false">G30+G31</f>
        <v>0</v>
      </c>
      <c r="H32" s="19" t="n">
        <f aca="false">H30+H31</f>
        <v>0</v>
      </c>
      <c r="I32" s="19" t="n">
        <f aca="false">I30+I31</f>
        <v>0</v>
      </c>
      <c r="J32" s="19" t="n">
        <f aca="false">J30+J31</f>
        <v>0</v>
      </c>
      <c r="K32" s="19" t="n">
        <f aca="false">K30+K31</f>
        <v>0</v>
      </c>
      <c r="L32" s="19" t="n">
        <f aca="false">L30+L31</f>
        <v>0</v>
      </c>
      <c r="M32" s="19" t="n">
        <f aca="false">M30+M31</f>
        <v>14711.8277082045</v>
      </c>
      <c r="N32" s="19" t="n">
        <f aca="false">N30+N31</f>
        <v>32484.4670131461</v>
      </c>
      <c r="O32" s="19" t="n">
        <f aca="false">O30+O31</f>
        <v>38665.6231191184</v>
      </c>
      <c r="P32" s="19" t="n">
        <f aca="false">P30+P31</f>
        <v>49550.3269117016</v>
      </c>
      <c r="Q32" s="19" t="n">
        <f aca="false">Q30+Q31</f>
        <v>74673.8725082309</v>
      </c>
      <c r="R32" s="19" t="n">
        <f aca="false">R30+R31</f>
        <v>104928.181042583</v>
      </c>
      <c r="S32" s="19" t="n">
        <f aca="false">S30+S31</f>
        <v>114448.327905538</v>
      </c>
      <c r="T32" s="19" t="n">
        <f aca="false">T30+T31</f>
        <v>138582.697077796</v>
      </c>
      <c r="U32" s="19" t="n">
        <f aca="false">U30+U31</f>
        <v>149370.033536637</v>
      </c>
      <c r="V32" s="19" t="n">
        <f aca="false">V30+V31</f>
        <v>171437.932328673</v>
      </c>
      <c r="W32" s="19" t="n">
        <f aca="false">W30+W31</f>
        <v>191741.379354891</v>
      </c>
      <c r="X32" s="19" t="n">
        <f aca="false">X30+X31</f>
        <v>221496.265672722</v>
      </c>
      <c r="Y32" s="19" t="n">
        <f aca="false">Y30+Y31</f>
        <v>239587.314999015</v>
      </c>
      <c r="Z32" s="19" t="n">
        <f aca="false">Z30+Z31</f>
        <v>294666.666469422</v>
      </c>
      <c r="AA32" s="19" t="n">
        <f aca="false">AA30+AA31</f>
        <v>265187.37509094</v>
      </c>
      <c r="AB32" s="19" t="n">
        <f aca="false">AB30+AB31</f>
        <v>285214.060434874</v>
      </c>
      <c r="AC32" s="19" t="n">
        <f aca="false">AC30+AC31</f>
        <v>319620.526767473</v>
      </c>
      <c r="AD32" s="19" t="n">
        <f aca="false">AD30+AD31</f>
        <v>371211.469411749</v>
      </c>
      <c r="AE32" s="19" t="n">
        <f aca="false">AE30+AE31</f>
        <v>353882.654537952</v>
      </c>
      <c r="AF32" s="19" t="n">
        <f aca="false">AF30+AF31</f>
        <v>387437.034055097</v>
      </c>
      <c r="AG32" s="19" t="n">
        <f aca="false">AG30+AG31</f>
        <v>370388.500764013</v>
      </c>
      <c r="AH32" s="19" t="n">
        <f aca="false">AH30+AH31</f>
        <v>388651.595713161</v>
      </c>
      <c r="AI32" s="19" t="n">
        <f aca="false">AI30+AI31</f>
        <v>405454.454214971</v>
      </c>
      <c r="AJ32" s="19" t="n">
        <f aca="false">AJ30+AJ31</f>
        <v>443067.189820386</v>
      </c>
      <c r="AK32" s="19" t="n">
        <f aca="false">AK30+AK31</f>
        <v>458039.097870602</v>
      </c>
      <c r="AL32" s="19" t="n">
        <f aca="false">AL30+AL31</f>
        <v>542586.005985828</v>
      </c>
      <c r="AM32" s="19" t="n">
        <f aca="false">AM30+AM31</f>
        <v>460262.996559806</v>
      </c>
      <c r="AN32" s="19" t="n">
        <f aca="false">AN30+AN31</f>
        <v>471340.123587708</v>
      </c>
      <c r="AO32" s="19" t="n">
        <f aca="false">AO30+AO31</f>
        <v>506875.339410387</v>
      </c>
      <c r="AP32" s="19" t="n">
        <f aca="false">AP30+AP31</f>
        <v>568419.972459586</v>
      </c>
      <c r="AQ32" s="19" t="n">
        <f aca="false">AQ30+AQ31</f>
        <v>525826.350775568</v>
      </c>
      <c r="AR32" s="19" t="n">
        <f aca="false">AR30+AR31</f>
        <v>560890.261750167</v>
      </c>
      <c r="AS32" s="19" t="n">
        <f aca="false">AS30+AS31</f>
        <v>514774.633786169</v>
      </c>
      <c r="AT32" s="19" t="n">
        <f aca="false">AT30+AT31</f>
        <v>521493.250950123</v>
      </c>
      <c r="AU32" s="19" t="n">
        <f aca="false">AU30+AU31</f>
        <v>527674.677145851</v>
      </c>
      <c r="AV32" s="19" t="n">
        <f aca="false">AV30+AV31</f>
        <v>561433.540833342</v>
      </c>
      <c r="AW32" s="19" t="n">
        <f aca="false">AW30+AW31</f>
        <v>566941.398000125</v>
      </c>
      <c r="AX32" s="19" t="n">
        <f aca="false">AX30+AX31</f>
        <v>657810.20190645</v>
      </c>
      <c r="AY32" s="19" t="n">
        <f aca="false">AY30+AY31</f>
        <v>547837.613075091</v>
      </c>
      <c r="AZ32" s="19" t="n">
        <f aca="false">AZ30+AZ31</f>
        <v>551912.6603759</v>
      </c>
      <c r="BA32" s="19" t="n">
        <f aca="false">BA30+BA31</f>
        <v>584907.247246695</v>
      </c>
      <c r="BB32" s="19" t="n">
        <f aca="false">BB30+BB31</f>
        <v>647392.075524017</v>
      </c>
      <c r="BC32" s="19" t="n">
        <f aca="false">BC30+BC31</f>
        <v>591878.934717351</v>
      </c>
      <c r="BD32" s="19" t="n">
        <f aca="false">BD30+BD31</f>
        <v>624700.138224013</v>
      </c>
      <c r="BE32" s="19" t="n">
        <f aca="false">BE30+BE31</f>
        <v>567891.323715265</v>
      </c>
      <c r="BF32" s="19" t="n">
        <f aca="false">BF30+BF31</f>
        <v>570362.964842986</v>
      </c>
      <c r="BG32" s="19" t="n">
        <f aca="false">BG30+BG31</f>
        <v>572636.984457513</v>
      </c>
      <c r="BH32" s="19" t="n">
        <f aca="false">BH30+BH31</f>
        <v>604978.08789749</v>
      </c>
      <c r="BI32" s="19" t="n">
        <f aca="false">BI30+BI31</f>
        <v>607004.315314059</v>
      </c>
      <c r="BJ32" s="19" t="n">
        <f aca="false">BJ30+BJ31</f>
        <v>700198.814711158</v>
      </c>
    </row>
    <row r="34" customFormat="false" ht="15" hidden="false" customHeight="false" outlineLevel="0" collapsed="false">
      <c r="A34" s="27" t="s">
        <v>201</v>
      </c>
    </row>
    <row r="35" customFormat="false" ht="15" hidden="false" customHeight="false" outlineLevel="0" collapsed="false">
      <c r="A35" s="28" t="str">
        <f aca="false">Assumptions!A26</f>
        <v>Payout partner / agent commission</v>
      </c>
      <c r="B35" s="16" t="s">
        <v>194</v>
      </c>
      <c r="C35" s="23" t="n">
        <f aca="false">C$26*Assumptions!$B$26</f>
        <v>0</v>
      </c>
      <c r="D35" s="23" t="n">
        <f aca="false">D$26*Assumptions!$B$26</f>
        <v>0</v>
      </c>
      <c r="E35" s="23" t="n">
        <f aca="false">E$26*Assumptions!$B$26</f>
        <v>0</v>
      </c>
      <c r="F35" s="23" t="n">
        <f aca="false">F$26*Assumptions!$B$26</f>
        <v>0</v>
      </c>
      <c r="G35" s="23" t="n">
        <f aca="false">G$26*Assumptions!$B$26</f>
        <v>0</v>
      </c>
      <c r="H35" s="23" t="n">
        <f aca="false">H$26*Assumptions!$B$26</f>
        <v>0</v>
      </c>
      <c r="I35" s="23" t="n">
        <f aca="false">I$26*Assumptions!$B$26</f>
        <v>0</v>
      </c>
      <c r="J35" s="23" t="n">
        <f aca="false">J$26*Assumptions!$B$26</f>
        <v>0</v>
      </c>
      <c r="K35" s="23" t="n">
        <f aca="false">K$26*Assumptions!$B$26</f>
        <v>0</v>
      </c>
      <c r="L35" s="23" t="n">
        <f aca="false">L$26*Assumptions!$B$26</f>
        <v>0</v>
      </c>
      <c r="M35" s="23" t="n">
        <f aca="false">M$26*Assumptions!$B$26</f>
        <v>2574.56984893579</v>
      </c>
      <c r="N35" s="23" t="n">
        <f aca="false">N$26*Assumptions!$B$26</f>
        <v>5684.78172730056</v>
      </c>
      <c r="O35" s="23" t="n">
        <f aca="false">O$26*Assumptions!$B$26</f>
        <v>6766.48404584573</v>
      </c>
      <c r="P35" s="23" t="n">
        <f aca="false">P$26*Assumptions!$B$26</f>
        <v>8671.30720954778</v>
      </c>
      <c r="Q35" s="23" t="n">
        <f aca="false">Q$26*Assumptions!$B$26</f>
        <v>13300.7583535398</v>
      </c>
      <c r="R35" s="23" t="n">
        <f aca="false">R$26*Assumptions!$B$26</f>
        <v>18854.1814212824</v>
      </c>
      <c r="S35" s="23" t="n">
        <f aca="false">S$26*Assumptions!$B$26</f>
        <v>20672.5895031652</v>
      </c>
      <c r="T35" s="23" t="n">
        <f aca="false">T$26*Assumptions!$B$26</f>
        <v>25118.7058534039</v>
      </c>
      <c r="U35" s="23" t="n">
        <f aca="false">U$26*Assumptions!$B$26</f>
        <v>27162.1882859323</v>
      </c>
      <c r="V35" s="23" t="n">
        <f aca="false">V$26*Assumptions!$B$26</f>
        <v>31243.2662199104</v>
      </c>
      <c r="W35" s="23" t="n">
        <f aca="false">W$26*Assumptions!$B$26</f>
        <v>34998.039178734</v>
      </c>
      <c r="X35" s="23" t="n">
        <f aca="false">X$26*Assumptions!$B$26</f>
        <v>40476.4179660009</v>
      </c>
      <c r="Y35" s="23" t="n">
        <f aca="false">Y$26*Assumptions!$B$26</f>
        <v>43822.0460615352</v>
      </c>
      <c r="Z35" s="23" t="n">
        <f aca="false">Z$26*Assumptions!$B$26</f>
        <v>53935.1983798973</v>
      </c>
      <c r="AA35" s="23" t="n">
        <f aca="false">AA$26*Assumptions!$B$26</f>
        <v>48649.2765249061</v>
      </c>
      <c r="AB35" s="23" t="n">
        <f aca="false">AB$26*Assumptions!$B$26</f>
        <v>52416.0419975933</v>
      </c>
      <c r="AC35" s="23" t="n">
        <f aca="false">AC$26*Assumptions!$B$26</f>
        <v>58822.7721389029</v>
      </c>
      <c r="AD35" s="23" t="n">
        <f aca="false">AD$26*Assumptions!$B$26</f>
        <v>68396.9945612528</v>
      </c>
      <c r="AE35" s="23" t="n">
        <f aca="false">AE$26*Assumptions!$B$26</f>
        <v>65267.0437540122</v>
      </c>
      <c r="AF35" s="23" t="n">
        <f aca="false">AF$26*Assumptions!$B$26</f>
        <v>71513.5071741413</v>
      </c>
      <c r="AG35" s="23" t="n">
        <f aca="false">AG$26*Assumptions!$B$26</f>
        <v>68286.5304215319</v>
      </c>
      <c r="AH35" s="23" t="n">
        <f aca="false">AH$26*Assumptions!$B$26</f>
        <v>71583.8163742619</v>
      </c>
      <c r="AI35" s="23" t="n">
        <f aca="false">AI$26*Assumptions!$B$26</f>
        <v>74617.4658985068</v>
      </c>
      <c r="AJ35" s="23" t="n">
        <f aca="false">AJ$26*Assumptions!$B$26</f>
        <v>81482.692841296</v>
      </c>
      <c r="AK35" s="23" t="n">
        <f aca="false">AK$26*Assumptions!$B$26</f>
        <v>84185.7758749764</v>
      </c>
      <c r="AL35" s="23" t="n">
        <f aca="false">AL$26*Assumptions!$B$26</f>
        <v>99673.6421707524</v>
      </c>
      <c r="AM35" s="23" t="n">
        <f aca="false">AM$26*Assumptions!$B$26</f>
        <v>84512.8005757025</v>
      </c>
      <c r="AN35" s="23" t="n">
        <f aca="false">AN$26*Assumptions!$B$26</f>
        <v>86512.705599873</v>
      </c>
      <c r="AO35" s="23" t="n">
        <f aca="false">AO$26*Assumptions!$B$26</f>
        <v>93002.849523316</v>
      </c>
      <c r="AP35" s="23" t="n">
        <f aca="false">AP$26*Assumptions!$B$26</f>
        <v>104263.314854516</v>
      </c>
      <c r="AQ35" s="23" t="n">
        <f aca="false">AQ$26*Assumptions!$B$26</f>
        <v>96424.3344215999</v>
      </c>
      <c r="AR35" s="23" t="n">
        <f aca="false">AR$26*Assumptions!$B$26</f>
        <v>102829.387244145</v>
      </c>
      <c r="AS35" s="23" t="n">
        <f aca="false">AS$26*Assumptions!$B$26</f>
        <v>94354.5309169871</v>
      </c>
      <c r="AT35" s="23" t="n">
        <f aca="false">AT$26*Assumptions!$B$26</f>
        <v>95567.5346306598</v>
      </c>
      <c r="AU35" s="23" t="n">
        <f aca="false">AU$26*Assumptions!$B$26</f>
        <v>96683.551922349</v>
      </c>
      <c r="AV35" s="23" t="n">
        <f aca="false">AV$26*Assumptions!$B$26</f>
        <v>102852.986734945</v>
      </c>
      <c r="AW35" s="23" t="n">
        <f aca="false">AW$26*Assumptions!$B$26</f>
        <v>103847.395410815</v>
      </c>
      <c r="AX35" s="23" t="n">
        <f aca="false">AX$26*Assumptions!$B$26</f>
        <v>120476.639892745</v>
      </c>
      <c r="AY35" s="23" t="n">
        <f aca="false">AY$26*Assumptions!$B$26</f>
        <v>100323.8421136</v>
      </c>
      <c r="AZ35" s="23" t="n">
        <f aca="false">AZ$26*Assumptions!$B$26</f>
        <v>101059.566056288</v>
      </c>
      <c r="BA35" s="23" t="n">
        <f aca="false">BA$26*Assumptions!$B$26</f>
        <v>107091.015537334</v>
      </c>
      <c r="BB35" s="23" t="n">
        <f aca="false">BB$26*Assumptions!$B$26</f>
        <v>118521.22715344</v>
      </c>
      <c r="BC35" s="23" t="n">
        <f aca="false">BC$26*Assumptions!$B$26</f>
        <v>108349.709489691</v>
      </c>
      <c r="BD35" s="23" t="n">
        <f aca="false">BD$26*Assumptions!$B$26</f>
        <v>114349.855704089</v>
      </c>
      <c r="BE35" s="23" t="n">
        <f aca="false">BE$26*Assumptions!$B$26</f>
        <v>103944.412371712</v>
      </c>
      <c r="BF35" s="23" t="n">
        <f aca="false">BF$26*Assumptions!$B$26</f>
        <v>104390.651500037</v>
      </c>
      <c r="BG35" s="23" t="n">
        <f aca="false">BG$26*Assumptions!$B$26</f>
        <v>104801.211317641</v>
      </c>
      <c r="BH35" s="23" t="n">
        <f aca="false">BH$26*Assumptions!$B$26</f>
        <v>110714.67851021</v>
      </c>
      <c r="BI35" s="23" t="n">
        <f aca="false">BI$26*Assumptions!$B$26</f>
        <v>111080.501018185</v>
      </c>
      <c r="BJ35" s="23" t="n">
        <f aca="false">BJ$26*Assumptions!$B$26</f>
        <v>128129.635069402</v>
      </c>
    </row>
    <row r="36" customFormat="false" ht="15" hidden="false" customHeight="false" outlineLevel="0" collapsed="false">
      <c r="A36" s="28" t="str">
        <f aca="false">Assumptions!A27</f>
        <v>Origin send-point / agent commission</v>
      </c>
      <c r="B36" s="16" t="s">
        <v>194</v>
      </c>
      <c r="C36" s="23" t="n">
        <f aca="false">C$26*Assumptions!$B$27</f>
        <v>0</v>
      </c>
      <c r="D36" s="23" t="n">
        <f aca="false">D$26*Assumptions!$B$27</f>
        <v>0</v>
      </c>
      <c r="E36" s="23" t="n">
        <f aca="false">E$26*Assumptions!$B$27</f>
        <v>0</v>
      </c>
      <c r="F36" s="23" t="n">
        <f aca="false">F$26*Assumptions!$B$27</f>
        <v>0</v>
      </c>
      <c r="G36" s="23" t="n">
        <f aca="false">G$26*Assumptions!$B$27</f>
        <v>0</v>
      </c>
      <c r="H36" s="23" t="n">
        <f aca="false">H$26*Assumptions!$B$27</f>
        <v>0</v>
      </c>
      <c r="I36" s="23" t="n">
        <f aca="false">I$26*Assumptions!$B$27</f>
        <v>0</v>
      </c>
      <c r="J36" s="23" t="n">
        <f aca="false">J$26*Assumptions!$B$27</f>
        <v>0</v>
      </c>
      <c r="K36" s="23" t="n">
        <f aca="false">K$26*Assumptions!$B$27</f>
        <v>0</v>
      </c>
      <c r="L36" s="23" t="n">
        <f aca="false">L$26*Assumptions!$B$27</f>
        <v>0</v>
      </c>
      <c r="M36" s="23" t="n">
        <f aca="false">M$26*Assumptions!$B$27</f>
        <v>919.489231762782</v>
      </c>
      <c r="N36" s="23" t="n">
        <f aca="false">N$26*Assumptions!$B$27</f>
        <v>2030.27918832163</v>
      </c>
      <c r="O36" s="23" t="n">
        <f aca="false">O$26*Assumptions!$B$27</f>
        <v>2416.6014449449</v>
      </c>
      <c r="P36" s="23" t="n">
        <f aca="false">P$26*Assumptions!$B$27</f>
        <v>3096.89543198135</v>
      </c>
      <c r="Q36" s="23" t="n">
        <f aca="false">Q$26*Assumptions!$B$27</f>
        <v>4750.27084054994</v>
      </c>
      <c r="R36" s="23" t="n">
        <f aca="false">R$26*Assumptions!$B$27</f>
        <v>6733.63622188656</v>
      </c>
      <c r="S36" s="23" t="n">
        <f aca="false">S$26*Assumptions!$B$27</f>
        <v>7383.06767970185</v>
      </c>
      <c r="T36" s="23" t="n">
        <f aca="false">T$26*Assumptions!$B$27</f>
        <v>8970.96637621567</v>
      </c>
      <c r="U36" s="23" t="n">
        <f aca="false">U$26*Assumptions!$B$27</f>
        <v>9700.7815306901</v>
      </c>
      <c r="V36" s="23" t="n">
        <f aca="false">V$26*Assumptions!$B$27</f>
        <v>11158.3093642537</v>
      </c>
      <c r="W36" s="23" t="n">
        <f aca="false">W$26*Assumptions!$B$27</f>
        <v>12499.2997066907</v>
      </c>
      <c r="X36" s="23" t="n">
        <f aca="false">X$26*Assumptions!$B$27</f>
        <v>14455.863559286</v>
      </c>
      <c r="Y36" s="23" t="n">
        <f aca="false">Y$26*Assumptions!$B$27</f>
        <v>15650.7307362626</v>
      </c>
      <c r="Z36" s="23" t="n">
        <f aca="false">Z$26*Assumptions!$B$27</f>
        <v>19262.5708499633</v>
      </c>
      <c r="AA36" s="23" t="n">
        <f aca="false">AA$26*Assumptions!$B$27</f>
        <v>17374.7416160379</v>
      </c>
      <c r="AB36" s="23" t="n">
        <f aca="false">AB$26*Assumptions!$B$27</f>
        <v>18720.0149991405</v>
      </c>
      <c r="AC36" s="23" t="n">
        <f aca="false">AC$26*Assumptions!$B$27</f>
        <v>21008.132906751</v>
      </c>
      <c r="AD36" s="23" t="n">
        <f aca="false">AD$26*Assumptions!$B$27</f>
        <v>24427.4980575903</v>
      </c>
      <c r="AE36" s="23" t="n">
        <f aca="false">AE$26*Assumptions!$B$27</f>
        <v>23309.6584835758</v>
      </c>
      <c r="AF36" s="23" t="n">
        <f aca="false">AF$26*Assumptions!$B$27</f>
        <v>25540.5382764791</v>
      </c>
      <c r="AG36" s="23" t="n">
        <f aca="false">AG$26*Assumptions!$B$27</f>
        <v>24388.0465791185</v>
      </c>
      <c r="AH36" s="23" t="n">
        <f aca="false">AH$26*Assumptions!$B$27</f>
        <v>25565.6487050935</v>
      </c>
      <c r="AI36" s="23" t="n">
        <f aca="false">AI$26*Assumptions!$B$27</f>
        <v>26649.0949637524</v>
      </c>
      <c r="AJ36" s="23" t="n">
        <f aca="false">AJ$26*Assumptions!$B$27</f>
        <v>29100.9617290343</v>
      </c>
      <c r="AK36" s="23" t="n">
        <f aca="false">AK$26*Assumptions!$B$27</f>
        <v>30066.3485267773</v>
      </c>
      <c r="AL36" s="23" t="n">
        <f aca="false">AL$26*Assumptions!$B$27</f>
        <v>35597.7293466973</v>
      </c>
      <c r="AM36" s="23" t="n">
        <f aca="false">AM$26*Assumptions!$B$27</f>
        <v>30183.1430627509</v>
      </c>
      <c r="AN36" s="23" t="n">
        <f aca="false">AN$26*Assumptions!$B$27</f>
        <v>30897.3948570975</v>
      </c>
      <c r="AO36" s="23" t="n">
        <f aca="false">AO$26*Assumptions!$B$27</f>
        <v>33215.3034011843</v>
      </c>
      <c r="AP36" s="23" t="n">
        <f aca="false">AP$26*Assumptions!$B$27</f>
        <v>37236.8981623272</v>
      </c>
      <c r="AQ36" s="23" t="n">
        <f aca="false">AQ$26*Assumptions!$B$27</f>
        <v>34437.2622934285</v>
      </c>
      <c r="AR36" s="23" t="n">
        <f aca="false">AR$26*Assumptions!$B$27</f>
        <v>36724.7811586231</v>
      </c>
      <c r="AS36" s="23" t="n">
        <f aca="false">AS$26*Assumptions!$B$27</f>
        <v>33698.0467560668</v>
      </c>
      <c r="AT36" s="23" t="n">
        <f aca="false">AT$26*Assumptions!$B$27</f>
        <v>34131.2623680928</v>
      </c>
      <c r="AU36" s="23" t="n">
        <f aca="false">AU$26*Assumptions!$B$27</f>
        <v>34529.8399722675</v>
      </c>
      <c r="AV36" s="23" t="n">
        <f aca="false">AV$26*Assumptions!$B$27</f>
        <v>36733.2095481945</v>
      </c>
      <c r="AW36" s="23" t="n">
        <f aca="false">AW$26*Assumptions!$B$27</f>
        <v>37088.3555038625</v>
      </c>
      <c r="AX36" s="23" t="n">
        <f aca="false">AX$26*Assumptions!$B$27</f>
        <v>43027.371390266</v>
      </c>
      <c r="AY36" s="23" t="n">
        <f aca="false">AY$26*Assumptions!$B$27</f>
        <v>35829.9436120001</v>
      </c>
      <c r="AZ36" s="23" t="n">
        <f aca="false">AZ$26*Assumptions!$B$27</f>
        <v>36092.70216296</v>
      </c>
      <c r="BA36" s="23" t="n">
        <f aca="false">BA$26*Assumptions!$B$27</f>
        <v>38246.7912633335</v>
      </c>
      <c r="BB36" s="23" t="n">
        <f aca="false">BB$26*Assumptions!$B$27</f>
        <v>42329.0096976573</v>
      </c>
      <c r="BC36" s="23" t="n">
        <f aca="false">BC$26*Assumptions!$B$27</f>
        <v>38696.3248177467</v>
      </c>
      <c r="BD36" s="23" t="n">
        <f aca="false">BD$26*Assumptions!$B$27</f>
        <v>40839.2341800319</v>
      </c>
      <c r="BE36" s="23" t="n">
        <f aca="false">BE$26*Assumptions!$B$27</f>
        <v>37123.0044184686</v>
      </c>
      <c r="BF36" s="23" t="n">
        <f aca="false">BF$26*Assumptions!$B$27</f>
        <v>37282.3755357274</v>
      </c>
      <c r="BG36" s="23" t="n">
        <f aca="false">BG$26*Assumptions!$B$27</f>
        <v>37429.0040420147</v>
      </c>
      <c r="BH36" s="23" t="n">
        <f aca="false">BH$26*Assumptions!$B$27</f>
        <v>39540.9566107892</v>
      </c>
      <c r="BI36" s="23" t="n">
        <f aca="false">BI$26*Assumptions!$B$27</f>
        <v>39671.6075064946</v>
      </c>
      <c r="BJ36" s="23" t="n">
        <f aca="false">BJ$26*Assumptions!$B$27</f>
        <v>45760.5839533579</v>
      </c>
    </row>
    <row r="37" customFormat="false" ht="15" hidden="false" customHeight="false" outlineLevel="0" collapsed="false">
      <c r="A37" s="28" t="str">
        <f aca="false">Assumptions!A28</f>
        <v>Banking, settlement &amp; FX execution</v>
      </c>
      <c r="B37" s="16" t="s">
        <v>194</v>
      </c>
      <c r="C37" s="23" t="n">
        <f aca="false">C$26*Assumptions!$B$28</f>
        <v>0</v>
      </c>
      <c r="D37" s="23" t="n">
        <f aca="false">D$26*Assumptions!$B$28</f>
        <v>0</v>
      </c>
      <c r="E37" s="23" t="n">
        <f aca="false">E$26*Assumptions!$B$28</f>
        <v>0</v>
      </c>
      <c r="F37" s="23" t="n">
        <f aca="false">F$26*Assumptions!$B$28</f>
        <v>0</v>
      </c>
      <c r="G37" s="23" t="n">
        <f aca="false">G$26*Assumptions!$B$28</f>
        <v>0</v>
      </c>
      <c r="H37" s="23" t="n">
        <f aca="false">H$26*Assumptions!$B$28</f>
        <v>0</v>
      </c>
      <c r="I37" s="23" t="n">
        <f aca="false">I$26*Assumptions!$B$28</f>
        <v>0</v>
      </c>
      <c r="J37" s="23" t="n">
        <f aca="false">J$26*Assumptions!$B$28</f>
        <v>0</v>
      </c>
      <c r="K37" s="23" t="n">
        <f aca="false">K$26*Assumptions!$B$28</f>
        <v>0</v>
      </c>
      <c r="L37" s="23" t="n">
        <f aca="false">L$26*Assumptions!$B$28</f>
        <v>0</v>
      </c>
      <c r="M37" s="23" t="n">
        <f aca="false">M$26*Assumptions!$B$28</f>
        <v>1103.38707811534</v>
      </c>
      <c r="N37" s="23" t="n">
        <f aca="false">N$26*Assumptions!$B$28</f>
        <v>2436.33502598595</v>
      </c>
      <c r="O37" s="23" t="n">
        <f aca="false">O$26*Assumptions!$B$28</f>
        <v>2899.92173393388</v>
      </c>
      <c r="P37" s="23" t="n">
        <f aca="false">P$26*Assumptions!$B$28</f>
        <v>3716.27451837762</v>
      </c>
      <c r="Q37" s="23" t="n">
        <f aca="false">Q$26*Assumptions!$B$28</f>
        <v>5700.32500865992</v>
      </c>
      <c r="R37" s="23" t="n">
        <f aca="false">R$26*Assumptions!$B$28</f>
        <v>8080.36346626388</v>
      </c>
      <c r="S37" s="23" t="n">
        <f aca="false">S$26*Assumptions!$B$28</f>
        <v>8859.68121564222</v>
      </c>
      <c r="T37" s="23" t="n">
        <f aca="false">T$26*Assumptions!$B$28</f>
        <v>10765.1596514588</v>
      </c>
      <c r="U37" s="23" t="n">
        <f aca="false">U$26*Assumptions!$B$28</f>
        <v>11640.9378368281</v>
      </c>
      <c r="V37" s="23" t="n">
        <f aca="false">V$26*Assumptions!$B$28</f>
        <v>13389.9712371045</v>
      </c>
      <c r="W37" s="23" t="n">
        <f aca="false">W$26*Assumptions!$B$28</f>
        <v>14999.1596480289</v>
      </c>
      <c r="X37" s="23" t="n">
        <f aca="false">X$26*Assumptions!$B$28</f>
        <v>17347.0362711432</v>
      </c>
      <c r="Y37" s="23" t="n">
        <f aca="false">Y$26*Assumptions!$B$28</f>
        <v>18780.8768835151</v>
      </c>
      <c r="Z37" s="23" t="n">
        <f aca="false">Z$26*Assumptions!$B$28</f>
        <v>23115.085019956</v>
      </c>
      <c r="AA37" s="23" t="n">
        <f aca="false">AA$26*Assumptions!$B$28</f>
        <v>20849.6899392455</v>
      </c>
      <c r="AB37" s="23" t="n">
        <f aca="false">AB$26*Assumptions!$B$28</f>
        <v>22464.0179989686</v>
      </c>
      <c r="AC37" s="23" t="n">
        <f aca="false">AC$26*Assumptions!$B$28</f>
        <v>25209.7594881012</v>
      </c>
      <c r="AD37" s="23" t="n">
        <f aca="false">AD$26*Assumptions!$B$28</f>
        <v>29312.9976691083</v>
      </c>
      <c r="AE37" s="23" t="n">
        <f aca="false">AE$26*Assumptions!$B$28</f>
        <v>27971.5901802909</v>
      </c>
      <c r="AF37" s="23" t="n">
        <f aca="false">AF$26*Assumptions!$B$28</f>
        <v>30648.6459317749</v>
      </c>
      <c r="AG37" s="23" t="n">
        <f aca="false">AG$26*Assumptions!$B$28</f>
        <v>29265.6558949422</v>
      </c>
      <c r="AH37" s="23" t="n">
        <f aca="false">AH$26*Assumptions!$B$28</f>
        <v>30678.7784461122</v>
      </c>
      <c r="AI37" s="23" t="n">
        <f aca="false">AI$26*Assumptions!$B$28</f>
        <v>31978.9139565029</v>
      </c>
      <c r="AJ37" s="23" t="n">
        <f aca="false">AJ$26*Assumptions!$B$28</f>
        <v>34921.1540748411</v>
      </c>
      <c r="AK37" s="23" t="n">
        <f aca="false">AK$26*Assumptions!$B$28</f>
        <v>36079.6182321328</v>
      </c>
      <c r="AL37" s="23" t="n">
        <f aca="false">AL$26*Assumptions!$B$28</f>
        <v>42717.2752160368</v>
      </c>
      <c r="AM37" s="23" t="n">
        <f aca="false">AM$26*Assumptions!$B$28</f>
        <v>36219.7716753011</v>
      </c>
      <c r="AN37" s="23" t="n">
        <f aca="false">AN$26*Assumptions!$B$28</f>
        <v>37076.873828517</v>
      </c>
      <c r="AO37" s="23" t="n">
        <f aca="false">AO$26*Assumptions!$B$28</f>
        <v>39858.3640814212</v>
      </c>
      <c r="AP37" s="23" t="n">
        <f aca="false">AP$26*Assumptions!$B$28</f>
        <v>44684.2777947926</v>
      </c>
      <c r="AQ37" s="23" t="n">
        <f aca="false">AQ$26*Assumptions!$B$28</f>
        <v>41324.7147521142</v>
      </c>
      <c r="AR37" s="23" t="n">
        <f aca="false">AR$26*Assumptions!$B$28</f>
        <v>44069.7373903477</v>
      </c>
      <c r="AS37" s="23" t="n">
        <f aca="false">AS$26*Assumptions!$B$28</f>
        <v>40437.6561072802</v>
      </c>
      <c r="AT37" s="23" t="n">
        <f aca="false">AT$26*Assumptions!$B$28</f>
        <v>40957.5148417113</v>
      </c>
      <c r="AU37" s="23" t="n">
        <f aca="false">AU$26*Assumptions!$B$28</f>
        <v>41435.807966721</v>
      </c>
      <c r="AV37" s="23" t="n">
        <f aca="false">AV$26*Assumptions!$B$28</f>
        <v>44079.8514578334</v>
      </c>
      <c r="AW37" s="23" t="n">
        <f aca="false">AW$26*Assumptions!$B$28</f>
        <v>44506.026604635</v>
      </c>
      <c r="AX37" s="23" t="n">
        <f aca="false">AX$26*Assumptions!$B$28</f>
        <v>51632.8456683192</v>
      </c>
      <c r="AY37" s="23" t="n">
        <f aca="false">AY$26*Assumptions!$B$28</f>
        <v>42995.9323344001</v>
      </c>
      <c r="AZ37" s="23" t="n">
        <f aca="false">AZ$26*Assumptions!$B$28</f>
        <v>43311.242595552</v>
      </c>
      <c r="BA37" s="23" t="n">
        <f aca="false">BA$26*Assumptions!$B$28</f>
        <v>45896.1495160001</v>
      </c>
      <c r="BB37" s="23" t="n">
        <f aca="false">BB$26*Assumptions!$B$28</f>
        <v>50794.8116371887</v>
      </c>
      <c r="BC37" s="23" t="n">
        <f aca="false">BC$26*Assumptions!$B$28</f>
        <v>46435.5897812961</v>
      </c>
      <c r="BD37" s="23" t="n">
        <f aca="false">BD$26*Assumptions!$B$28</f>
        <v>49007.0810160383</v>
      </c>
      <c r="BE37" s="23" t="n">
        <f aca="false">BE$26*Assumptions!$B$28</f>
        <v>44547.6053021623</v>
      </c>
      <c r="BF37" s="23" t="n">
        <f aca="false">BF$26*Assumptions!$B$28</f>
        <v>44738.8506428729</v>
      </c>
      <c r="BG37" s="23" t="n">
        <f aca="false">BG$26*Assumptions!$B$28</f>
        <v>44914.8048504176</v>
      </c>
      <c r="BH37" s="23" t="n">
        <f aca="false">BH$26*Assumptions!$B$28</f>
        <v>47449.147932947</v>
      </c>
      <c r="BI37" s="23" t="n">
        <f aca="false">BI$26*Assumptions!$B$28</f>
        <v>47605.9290077935</v>
      </c>
      <c r="BJ37" s="23" t="n">
        <f aca="false">BJ$26*Assumptions!$B$28</f>
        <v>54912.7007440295</v>
      </c>
    </row>
    <row r="38" customFormat="false" ht="15" hidden="false" customHeight="false" outlineLevel="0" collapsed="false">
      <c r="A38" s="28" t="str">
        <f aca="false">Assumptions!A29</f>
        <v>Fraud &amp; loss provision</v>
      </c>
      <c r="B38" s="16" t="s">
        <v>194</v>
      </c>
      <c r="C38" s="23" t="n">
        <f aca="false">C$26*Assumptions!$B$29</f>
        <v>0</v>
      </c>
      <c r="D38" s="23" t="n">
        <f aca="false">D$26*Assumptions!$B$29</f>
        <v>0</v>
      </c>
      <c r="E38" s="23" t="n">
        <f aca="false">E$26*Assumptions!$B$29</f>
        <v>0</v>
      </c>
      <c r="F38" s="23" t="n">
        <f aca="false">F$26*Assumptions!$B$29</f>
        <v>0</v>
      </c>
      <c r="G38" s="23" t="n">
        <f aca="false">G$26*Assumptions!$B$29</f>
        <v>0</v>
      </c>
      <c r="H38" s="23" t="n">
        <f aca="false">H$26*Assumptions!$B$29</f>
        <v>0</v>
      </c>
      <c r="I38" s="23" t="n">
        <f aca="false">I$26*Assumptions!$B$29</f>
        <v>0</v>
      </c>
      <c r="J38" s="23" t="n">
        <f aca="false">J$26*Assumptions!$B$29</f>
        <v>0</v>
      </c>
      <c r="K38" s="23" t="n">
        <f aca="false">K$26*Assumptions!$B$29</f>
        <v>0</v>
      </c>
      <c r="L38" s="23" t="n">
        <f aca="false">L$26*Assumptions!$B$29</f>
        <v>0</v>
      </c>
      <c r="M38" s="23" t="n">
        <f aca="false">M$26*Assumptions!$B$29</f>
        <v>367.795692705113</v>
      </c>
      <c r="N38" s="23" t="n">
        <f aca="false">N$26*Assumptions!$B$29</f>
        <v>812.111675328651</v>
      </c>
      <c r="O38" s="23" t="n">
        <f aca="false">O$26*Assumptions!$B$29</f>
        <v>966.640577977961</v>
      </c>
      <c r="P38" s="23" t="n">
        <f aca="false">P$26*Assumptions!$B$29</f>
        <v>1238.75817279254</v>
      </c>
      <c r="Q38" s="23" t="n">
        <f aca="false">Q$26*Assumptions!$B$29</f>
        <v>1900.10833621997</v>
      </c>
      <c r="R38" s="23" t="n">
        <f aca="false">R$26*Assumptions!$B$29</f>
        <v>2693.45448875463</v>
      </c>
      <c r="S38" s="23" t="n">
        <f aca="false">S$26*Assumptions!$B$29</f>
        <v>2953.22707188074</v>
      </c>
      <c r="T38" s="23" t="n">
        <f aca="false">T$26*Assumptions!$B$29</f>
        <v>3588.38655048627</v>
      </c>
      <c r="U38" s="23" t="n">
        <f aca="false">U$26*Assumptions!$B$29</f>
        <v>3880.31261227604</v>
      </c>
      <c r="V38" s="23" t="n">
        <f aca="false">V$26*Assumptions!$B$29</f>
        <v>4463.32374570149</v>
      </c>
      <c r="W38" s="23" t="n">
        <f aca="false">W$26*Assumptions!$B$29</f>
        <v>4999.71988267629</v>
      </c>
      <c r="X38" s="23" t="n">
        <f aca="false">X$26*Assumptions!$B$29</f>
        <v>5782.34542371441</v>
      </c>
      <c r="Y38" s="23" t="n">
        <f aca="false">Y$26*Assumptions!$B$29</f>
        <v>6260.29229450503</v>
      </c>
      <c r="Z38" s="23" t="n">
        <f aca="false">Z$26*Assumptions!$B$29</f>
        <v>7705.02833998533</v>
      </c>
      <c r="AA38" s="23" t="n">
        <f aca="false">AA$26*Assumptions!$B$29</f>
        <v>6949.89664641516</v>
      </c>
      <c r="AB38" s="23" t="n">
        <f aca="false">AB$26*Assumptions!$B$29</f>
        <v>7488.00599965619</v>
      </c>
      <c r="AC38" s="23" t="n">
        <f aca="false">AC$26*Assumptions!$B$29</f>
        <v>8403.25316270042</v>
      </c>
      <c r="AD38" s="23" t="n">
        <f aca="false">AD$26*Assumptions!$B$29</f>
        <v>9770.99922303611</v>
      </c>
      <c r="AE38" s="23" t="n">
        <f aca="false">AE$26*Assumptions!$B$29</f>
        <v>9323.86339343031</v>
      </c>
      <c r="AF38" s="23" t="n">
        <f aca="false">AF$26*Assumptions!$B$29</f>
        <v>10216.2153105916</v>
      </c>
      <c r="AG38" s="23" t="n">
        <f aca="false">AG$26*Assumptions!$B$29</f>
        <v>9755.21863164741</v>
      </c>
      <c r="AH38" s="23" t="n">
        <f aca="false">AH$26*Assumptions!$B$29</f>
        <v>10226.2594820374</v>
      </c>
      <c r="AI38" s="23" t="n">
        <f aca="false">AI$26*Assumptions!$B$29</f>
        <v>10659.637985501</v>
      </c>
      <c r="AJ38" s="23" t="n">
        <f aca="false">AJ$26*Assumptions!$B$29</f>
        <v>11640.3846916137</v>
      </c>
      <c r="AK38" s="23" t="n">
        <f aca="false">AK$26*Assumptions!$B$29</f>
        <v>12026.5394107109</v>
      </c>
      <c r="AL38" s="23" t="n">
        <f aca="false">AL$26*Assumptions!$B$29</f>
        <v>14239.0917386789</v>
      </c>
      <c r="AM38" s="23" t="n">
        <f aca="false">AM$26*Assumptions!$B$29</f>
        <v>12073.2572251004</v>
      </c>
      <c r="AN38" s="23" t="n">
        <f aca="false">AN$26*Assumptions!$B$29</f>
        <v>12358.957942839</v>
      </c>
      <c r="AO38" s="23" t="n">
        <f aca="false">AO$26*Assumptions!$B$29</f>
        <v>13286.1213604737</v>
      </c>
      <c r="AP38" s="23" t="n">
        <f aca="false">AP$26*Assumptions!$B$29</f>
        <v>14894.7592649309</v>
      </c>
      <c r="AQ38" s="23" t="n">
        <f aca="false">AQ$26*Assumptions!$B$29</f>
        <v>13774.9049173714</v>
      </c>
      <c r="AR38" s="23" t="n">
        <f aca="false">AR$26*Assumptions!$B$29</f>
        <v>14689.9124634492</v>
      </c>
      <c r="AS38" s="23" t="n">
        <f aca="false">AS$26*Assumptions!$B$29</f>
        <v>13479.2187024267</v>
      </c>
      <c r="AT38" s="23" t="n">
        <f aca="false">AT$26*Assumptions!$B$29</f>
        <v>13652.5049472371</v>
      </c>
      <c r="AU38" s="23" t="n">
        <f aca="false">AU$26*Assumptions!$B$29</f>
        <v>13811.935988907</v>
      </c>
      <c r="AV38" s="23" t="n">
        <f aca="false">AV$26*Assumptions!$B$29</f>
        <v>14693.2838192778</v>
      </c>
      <c r="AW38" s="23" t="n">
        <f aca="false">AW$26*Assumptions!$B$29</f>
        <v>14835.342201545</v>
      </c>
      <c r="AX38" s="23" t="n">
        <f aca="false">AX$26*Assumptions!$B$29</f>
        <v>17210.9485561064</v>
      </c>
      <c r="AY38" s="23" t="n">
        <f aca="false">AY$26*Assumptions!$B$29</f>
        <v>14331.9774448</v>
      </c>
      <c r="AZ38" s="23" t="n">
        <f aca="false">AZ$26*Assumptions!$B$29</f>
        <v>14437.080865184</v>
      </c>
      <c r="BA38" s="23" t="n">
        <f aca="false">BA$26*Assumptions!$B$29</f>
        <v>15298.7165053334</v>
      </c>
      <c r="BB38" s="23" t="n">
        <f aca="false">BB$26*Assumptions!$B$29</f>
        <v>16931.6038790629</v>
      </c>
      <c r="BC38" s="23" t="n">
        <f aca="false">BC$26*Assumptions!$B$29</f>
        <v>15478.5299270987</v>
      </c>
      <c r="BD38" s="23" t="n">
        <f aca="false">BD$26*Assumptions!$B$29</f>
        <v>16335.6936720128</v>
      </c>
      <c r="BE38" s="23" t="n">
        <f aca="false">BE$26*Assumptions!$B$29</f>
        <v>14849.2017673874</v>
      </c>
      <c r="BF38" s="23" t="n">
        <f aca="false">BF$26*Assumptions!$B$29</f>
        <v>14912.950214291</v>
      </c>
      <c r="BG38" s="23" t="n">
        <f aca="false">BG$26*Assumptions!$B$29</f>
        <v>14971.6016168059</v>
      </c>
      <c r="BH38" s="23" t="n">
        <f aca="false">BH$26*Assumptions!$B$29</f>
        <v>15816.3826443157</v>
      </c>
      <c r="BI38" s="23" t="n">
        <f aca="false">BI$26*Assumptions!$B$29</f>
        <v>15868.6430025978</v>
      </c>
      <c r="BJ38" s="23" t="n">
        <f aca="false">BJ$26*Assumptions!$B$29</f>
        <v>18304.2335813432</v>
      </c>
    </row>
    <row r="39" customFormat="false" ht="15" hidden="false" customHeight="false" outlineLevel="0" collapsed="false">
      <c r="A39" s="28" t="str">
        <f aca="false">Assumptions!A30</f>
        <v>KYC, screening, SMS/WhatsApp</v>
      </c>
      <c r="B39" s="16" t="s">
        <v>194</v>
      </c>
      <c r="C39" s="23" t="n">
        <f aca="false">C$26*Assumptions!$B$30</f>
        <v>0</v>
      </c>
      <c r="D39" s="23" t="n">
        <f aca="false">D$26*Assumptions!$B$30</f>
        <v>0</v>
      </c>
      <c r="E39" s="23" t="n">
        <f aca="false">E$26*Assumptions!$B$30</f>
        <v>0</v>
      </c>
      <c r="F39" s="23" t="n">
        <f aca="false">F$26*Assumptions!$B$30</f>
        <v>0</v>
      </c>
      <c r="G39" s="23" t="n">
        <f aca="false">G$26*Assumptions!$B$30</f>
        <v>0</v>
      </c>
      <c r="H39" s="23" t="n">
        <f aca="false">H$26*Assumptions!$B$30</f>
        <v>0</v>
      </c>
      <c r="I39" s="23" t="n">
        <f aca="false">I$26*Assumptions!$B$30</f>
        <v>0</v>
      </c>
      <c r="J39" s="23" t="n">
        <f aca="false">J$26*Assumptions!$B$30</f>
        <v>0</v>
      </c>
      <c r="K39" s="23" t="n">
        <f aca="false">K$26*Assumptions!$B$30</f>
        <v>0</v>
      </c>
      <c r="L39" s="23" t="n">
        <f aca="false">L$26*Assumptions!$B$30</f>
        <v>0</v>
      </c>
      <c r="M39" s="23" t="n">
        <f aca="false">M$26*Assumptions!$B$30</f>
        <v>441.354831246135</v>
      </c>
      <c r="N39" s="23" t="n">
        <f aca="false">N$26*Assumptions!$B$30</f>
        <v>974.534010394381</v>
      </c>
      <c r="O39" s="23" t="n">
        <f aca="false">O$26*Assumptions!$B$30</f>
        <v>1159.96869357355</v>
      </c>
      <c r="P39" s="23" t="n">
        <f aca="false">P$26*Assumptions!$B$30</f>
        <v>1486.50980735105</v>
      </c>
      <c r="Q39" s="23" t="n">
        <f aca="false">Q$26*Assumptions!$B$30</f>
        <v>2280.13000346397</v>
      </c>
      <c r="R39" s="23" t="n">
        <f aca="false">R$26*Assumptions!$B$30</f>
        <v>3232.14538650555</v>
      </c>
      <c r="S39" s="23" t="n">
        <f aca="false">S$26*Assumptions!$B$30</f>
        <v>3543.87248625689</v>
      </c>
      <c r="T39" s="23" t="n">
        <f aca="false">T$26*Assumptions!$B$30</f>
        <v>4306.06386058352</v>
      </c>
      <c r="U39" s="23" t="n">
        <f aca="false">U$26*Assumptions!$B$30</f>
        <v>4656.37513473125</v>
      </c>
      <c r="V39" s="23" t="n">
        <f aca="false">V$26*Assumptions!$B$30</f>
        <v>5355.98849484179</v>
      </c>
      <c r="W39" s="23" t="n">
        <f aca="false">W$26*Assumptions!$B$30</f>
        <v>5999.66385921154</v>
      </c>
      <c r="X39" s="23" t="n">
        <f aca="false">X$26*Assumptions!$B$30</f>
        <v>6938.8145084573</v>
      </c>
      <c r="Y39" s="23" t="n">
        <f aca="false">Y$26*Assumptions!$B$30</f>
        <v>7512.35075340604</v>
      </c>
      <c r="Z39" s="23" t="n">
        <f aca="false">Z$26*Assumptions!$B$30</f>
        <v>9246.0340079824</v>
      </c>
      <c r="AA39" s="23" t="n">
        <f aca="false">AA$26*Assumptions!$B$30</f>
        <v>8339.87597569819</v>
      </c>
      <c r="AB39" s="23" t="n">
        <f aca="false">AB$26*Assumptions!$B$30</f>
        <v>8985.60719958742</v>
      </c>
      <c r="AC39" s="23" t="n">
        <f aca="false">AC$26*Assumptions!$B$30</f>
        <v>10083.9037952405</v>
      </c>
      <c r="AD39" s="23" t="n">
        <f aca="false">AD$26*Assumptions!$B$30</f>
        <v>11725.1990676433</v>
      </c>
      <c r="AE39" s="23" t="n">
        <f aca="false">AE$26*Assumptions!$B$30</f>
        <v>11188.6360721164</v>
      </c>
      <c r="AF39" s="23" t="n">
        <f aca="false">AF$26*Assumptions!$B$30</f>
        <v>12259.4583727099</v>
      </c>
      <c r="AG39" s="23" t="n">
        <f aca="false">AG$26*Assumptions!$B$30</f>
        <v>11706.2623579769</v>
      </c>
      <c r="AH39" s="23" t="n">
        <f aca="false">AH$26*Assumptions!$B$30</f>
        <v>12271.5113784449</v>
      </c>
      <c r="AI39" s="23" t="n">
        <f aca="false">AI$26*Assumptions!$B$30</f>
        <v>12791.5655826012</v>
      </c>
      <c r="AJ39" s="23" t="n">
        <f aca="false">AJ$26*Assumptions!$B$30</f>
        <v>13968.4616299365</v>
      </c>
      <c r="AK39" s="23" t="n">
        <f aca="false">AK$26*Assumptions!$B$30</f>
        <v>14431.8472928531</v>
      </c>
      <c r="AL39" s="23" t="n">
        <f aca="false">AL$26*Assumptions!$B$30</f>
        <v>17086.9100864147</v>
      </c>
      <c r="AM39" s="23" t="n">
        <f aca="false">AM$26*Assumptions!$B$30</f>
        <v>14487.9086701204</v>
      </c>
      <c r="AN39" s="23" t="n">
        <f aca="false">AN$26*Assumptions!$B$30</f>
        <v>14830.7495314068</v>
      </c>
      <c r="AO39" s="23" t="n">
        <f aca="false">AO$26*Assumptions!$B$30</f>
        <v>15943.3456325685</v>
      </c>
      <c r="AP39" s="23" t="n">
        <f aca="false">AP$26*Assumptions!$B$30</f>
        <v>17873.711117917</v>
      </c>
      <c r="AQ39" s="23" t="n">
        <f aca="false">AQ$26*Assumptions!$B$30</f>
        <v>16529.8859008457</v>
      </c>
      <c r="AR39" s="23" t="n">
        <f aca="false">AR$26*Assumptions!$B$30</f>
        <v>17627.8949561391</v>
      </c>
      <c r="AS39" s="23" t="n">
        <f aca="false">AS$26*Assumptions!$B$30</f>
        <v>16175.0624429121</v>
      </c>
      <c r="AT39" s="23" t="n">
        <f aca="false">AT$26*Assumptions!$B$30</f>
        <v>16383.0059366845</v>
      </c>
      <c r="AU39" s="23" t="n">
        <f aca="false">AU$26*Assumptions!$B$30</f>
        <v>16574.3231866884</v>
      </c>
      <c r="AV39" s="23" t="n">
        <f aca="false">AV$26*Assumptions!$B$30</f>
        <v>17631.9405831334</v>
      </c>
      <c r="AW39" s="23" t="n">
        <f aca="false">AW$26*Assumptions!$B$30</f>
        <v>17802.410641854</v>
      </c>
      <c r="AX39" s="23" t="n">
        <f aca="false">AX$26*Assumptions!$B$30</f>
        <v>20653.1382673277</v>
      </c>
      <c r="AY39" s="23" t="n">
        <f aca="false">AY$26*Assumptions!$B$30</f>
        <v>17198.37293376</v>
      </c>
      <c r="AZ39" s="23" t="n">
        <f aca="false">AZ$26*Assumptions!$B$30</f>
        <v>17324.4970382208</v>
      </c>
      <c r="BA39" s="23" t="n">
        <f aca="false">BA$26*Assumptions!$B$30</f>
        <v>18358.4598064001</v>
      </c>
      <c r="BB39" s="23" t="n">
        <f aca="false">BB$26*Assumptions!$B$30</f>
        <v>20317.9246548755</v>
      </c>
      <c r="BC39" s="23" t="n">
        <f aca="false">BC$26*Assumptions!$B$30</f>
        <v>18574.2359125184</v>
      </c>
      <c r="BD39" s="23" t="n">
        <f aca="false">BD$26*Assumptions!$B$30</f>
        <v>19602.8324064153</v>
      </c>
      <c r="BE39" s="23" t="n">
        <f aca="false">BE$26*Assumptions!$B$30</f>
        <v>17819.0421208649</v>
      </c>
      <c r="BF39" s="23" t="n">
        <f aca="false">BF$26*Assumptions!$B$30</f>
        <v>17895.5402571492</v>
      </c>
      <c r="BG39" s="23" t="n">
        <f aca="false">BG$26*Assumptions!$B$30</f>
        <v>17965.921940167</v>
      </c>
      <c r="BH39" s="23" t="n">
        <f aca="false">BH$26*Assumptions!$B$30</f>
        <v>18979.6591731788</v>
      </c>
      <c r="BI39" s="23" t="n">
        <f aca="false">BI$26*Assumptions!$B$30</f>
        <v>19042.3716031174</v>
      </c>
      <c r="BJ39" s="23" t="n">
        <f aca="false">BJ$26*Assumptions!$B$30</f>
        <v>21965.0802976118</v>
      </c>
    </row>
    <row r="40" customFormat="false" ht="15" hidden="false" customHeight="false" outlineLevel="0" collapsed="false">
      <c r="A40" s="28" t="str">
        <f aca="false">Assumptions!A31</f>
        <v>Cash logistics &amp; cash-in-transit insurance</v>
      </c>
      <c r="B40" s="16" t="s">
        <v>194</v>
      </c>
      <c r="C40" s="23" t="n">
        <f aca="false">C$26*Assumptions!$B$31</f>
        <v>0</v>
      </c>
      <c r="D40" s="23" t="n">
        <f aca="false">D$26*Assumptions!$B$31</f>
        <v>0</v>
      </c>
      <c r="E40" s="23" t="n">
        <f aca="false">E$26*Assumptions!$B$31</f>
        <v>0</v>
      </c>
      <c r="F40" s="23" t="n">
        <f aca="false">F$26*Assumptions!$B$31</f>
        <v>0</v>
      </c>
      <c r="G40" s="23" t="n">
        <f aca="false">G$26*Assumptions!$B$31</f>
        <v>0</v>
      </c>
      <c r="H40" s="23" t="n">
        <f aca="false">H$26*Assumptions!$B$31</f>
        <v>0</v>
      </c>
      <c r="I40" s="23" t="n">
        <f aca="false">I$26*Assumptions!$B$31</f>
        <v>0</v>
      </c>
      <c r="J40" s="23" t="n">
        <f aca="false">J$26*Assumptions!$B$31</f>
        <v>0</v>
      </c>
      <c r="K40" s="23" t="n">
        <f aca="false">K$26*Assumptions!$B$31</f>
        <v>0</v>
      </c>
      <c r="L40" s="23" t="n">
        <f aca="false">L$26*Assumptions!$B$31</f>
        <v>0</v>
      </c>
      <c r="M40" s="23" t="n">
        <f aca="false">M$26*Assumptions!$B$31</f>
        <v>551.693539057669</v>
      </c>
      <c r="N40" s="23" t="n">
        <f aca="false">N$26*Assumptions!$B$31</f>
        <v>1218.16751299298</v>
      </c>
      <c r="O40" s="23" t="n">
        <f aca="false">O$26*Assumptions!$B$31</f>
        <v>1449.96086696694</v>
      </c>
      <c r="P40" s="23" t="n">
        <f aca="false">P$26*Assumptions!$B$31</f>
        <v>1858.13725918881</v>
      </c>
      <c r="Q40" s="23" t="n">
        <f aca="false">Q$26*Assumptions!$B$31</f>
        <v>2850.16250432996</v>
      </c>
      <c r="R40" s="23" t="n">
        <f aca="false">R$26*Assumptions!$B$31</f>
        <v>4040.18173313194</v>
      </c>
      <c r="S40" s="23" t="n">
        <f aca="false">S$26*Assumptions!$B$31</f>
        <v>4429.84060782111</v>
      </c>
      <c r="T40" s="23" t="n">
        <f aca="false">T$26*Assumptions!$B$31</f>
        <v>5382.5798257294</v>
      </c>
      <c r="U40" s="23" t="n">
        <f aca="false">U$26*Assumptions!$B$31</f>
        <v>5820.46891841406</v>
      </c>
      <c r="V40" s="23" t="n">
        <f aca="false">V$26*Assumptions!$B$31</f>
        <v>6694.98561855224</v>
      </c>
      <c r="W40" s="23" t="n">
        <f aca="false">W$26*Assumptions!$B$31</f>
        <v>7499.57982401443</v>
      </c>
      <c r="X40" s="23" t="n">
        <f aca="false">X$26*Assumptions!$B$31</f>
        <v>8673.51813557162</v>
      </c>
      <c r="Y40" s="23" t="n">
        <f aca="false">Y$26*Assumptions!$B$31</f>
        <v>9390.43844175755</v>
      </c>
      <c r="Z40" s="23" t="n">
        <f aca="false">Z$26*Assumptions!$B$31</f>
        <v>11557.542509978</v>
      </c>
      <c r="AA40" s="23" t="n">
        <f aca="false">AA$26*Assumptions!$B$31</f>
        <v>10424.8449696227</v>
      </c>
      <c r="AB40" s="23" t="n">
        <f aca="false">AB$26*Assumptions!$B$31</f>
        <v>11232.0089994843</v>
      </c>
      <c r="AC40" s="23" t="n">
        <f aca="false">AC$26*Assumptions!$B$31</f>
        <v>12604.8797440506</v>
      </c>
      <c r="AD40" s="23" t="n">
        <f aca="false">AD$26*Assumptions!$B$31</f>
        <v>14656.4988345542</v>
      </c>
      <c r="AE40" s="23" t="n">
        <f aca="false">AE$26*Assumptions!$B$31</f>
        <v>13985.7950901455</v>
      </c>
      <c r="AF40" s="23" t="n">
        <f aca="false">AF$26*Assumptions!$B$31</f>
        <v>15324.3229658874</v>
      </c>
      <c r="AG40" s="23" t="n">
        <f aca="false">AG$26*Assumptions!$B$31</f>
        <v>14632.8279474711</v>
      </c>
      <c r="AH40" s="23" t="n">
        <f aca="false">AH$26*Assumptions!$B$31</f>
        <v>15339.3892230561</v>
      </c>
      <c r="AI40" s="23" t="n">
        <f aca="false">AI$26*Assumptions!$B$31</f>
        <v>15989.4569782514</v>
      </c>
      <c r="AJ40" s="23" t="n">
        <f aca="false">AJ$26*Assumptions!$B$31</f>
        <v>17460.5770374206</v>
      </c>
      <c r="AK40" s="23" t="n">
        <f aca="false">AK$26*Assumptions!$B$31</f>
        <v>18039.8091160664</v>
      </c>
      <c r="AL40" s="23" t="n">
        <f aca="false">AL$26*Assumptions!$B$31</f>
        <v>21358.6376080184</v>
      </c>
      <c r="AM40" s="23" t="n">
        <f aca="false">AM$26*Assumptions!$B$31</f>
        <v>18109.8858376505</v>
      </c>
      <c r="AN40" s="23" t="n">
        <f aca="false">AN$26*Assumptions!$B$31</f>
        <v>18538.4369142585</v>
      </c>
      <c r="AO40" s="23" t="n">
        <f aca="false">AO$26*Assumptions!$B$31</f>
        <v>19929.1820407106</v>
      </c>
      <c r="AP40" s="23" t="n">
        <f aca="false">AP$26*Assumptions!$B$31</f>
        <v>22342.1388973963</v>
      </c>
      <c r="AQ40" s="23" t="n">
        <f aca="false">AQ$26*Assumptions!$B$31</f>
        <v>20662.3573760571</v>
      </c>
      <c r="AR40" s="23" t="n">
        <f aca="false">AR$26*Assumptions!$B$31</f>
        <v>22034.8686951739</v>
      </c>
      <c r="AS40" s="23" t="n">
        <f aca="false">AS$26*Assumptions!$B$31</f>
        <v>20218.8280536401</v>
      </c>
      <c r="AT40" s="23" t="n">
        <f aca="false">AT$26*Assumptions!$B$31</f>
        <v>20478.7574208557</v>
      </c>
      <c r="AU40" s="23" t="n">
        <f aca="false">AU$26*Assumptions!$B$31</f>
        <v>20717.9039833605</v>
      </c>
      <c r="AV40" s="23" t="n">
        <f aca="false">AV$26*Assumptions!$B$31</f>
        <v>22039.9257289167</v>
      </c>
      <c r="AW40" s="23" t="n">
        <f aca="false">AW$26*Assumptions!$B$31</f>
        <v>22253.0133023175</v>
      </c>
      <c r="AX40" s="23" t="n">
        <f aca="false">AX$26*Assumptions!$B$31</f>
        <v>25816.4228341596</v>
      </c>
      <c r="AY40" s="23" t="n">
        <f aca="false">AY$26*Assumptions!$B$31</f>
        <v>21497.9661672</v>
      </c>
      <c r="AZ40" s="23" t="n">
        <f aca="false">AZ$26*Assumptions!$B$31</f>
        <v>21655.621297776</v>
      </c>
      <c r="BA40" s="23" t="n">
        <f aca="false">BA$26*Assumptions!$B$31</f>
        <v>22948.0747580001</v>
      </c>
      <c r="BB40" s="23" t="n">
        <f aca="false">BB$26*Assumptions!$B$31</f>
        <v>25397.4058185944</v>
      </c>
      <c r="BC40" s="23" t="n">
        <f aca="false">BC$26*Assumptions!$B$31</f>
        <v>23217.794890648</v>
      </c>
      <c r="BD40" s="23" t="n">
        <f aca="false">BD$26*Assumptions!$B$31</f>
        <v>24503.5405080192</v>
      </c>
      <c r="BE40" s="23" t="n">
        <f aca="false">BE$26*Assumptions!$B$31</f>
        <v>22273.8026510811</v>
      </c>
      <c r="BF40" s="23" t="n">
        <f aca="false">BF$26*Assumptions!$B$31</f>
        <v>22369.4253214365</v>
      </c>
      <c r="BG40" s="23" t="n">
        <f aca="false">BG$26*Assumptions!$B$31</f>
        <v>22457.4024252088</v>
      </c>
      <c r="BH40" s="23" t="n">
        <f aca="false">BH$26*Assumptions!$B$31</f>
        <v>23724.5739664735</v>
      </c>
      <c r="BI40" s="23" t="n">
        <f aca="false">BI$26*Assumptions!$B$31</f>
        <v>23802.9645038968</v>
      </c>
      <c r="BJ40" s="23" t="n">
        <f aca="false">BJ$26*Assumptions!$B$31</f>
        <v>27456.3503720147</v>
      </c>
    </row>
    <row r="41" customFormat="false" ht="15" hidden="false" customHeight="false" outlineLevel="0" collapsed="false">
      <c r="A41" s="4" t="s">
        <v>202</v>
      </c>
      <c r="B41" s="16" t="s">
        <v>194</v>
      </c>
      <c r="C41" s="19" t="n">
        <f aca="false">SUM(C35:C40)</f>
        <v>0</v>
      </c>
      <c r="D41" s="19" t="n">
        <f aca="false">SUM(D35:D40)</f>
        <v>0</v>
      </c>
      <c r="E41" s="19" t="n">
        <f aca="false">SUM(E35:E40)</f>
        <v>0</v>
      </c>
      <c r="F41" s="19" t="n">
        <f aca="false">SUM(F35:F40)</f>
        <v>0</v>
      </c>
      <c r="G41" s="19" t="n">
        <f aca="false">SUM(G35:G40)</f>
        <v>0</v>
      </c>
      <c r="H41" s="19" t="n">
        <f aca="false">SUM(H35:H40)</f>
        <v>0</v>
      </c>
      <c r="I41" s="19" t="n">
        <f aca="false">SUM(I35:I40)</f>
        <v>0</v>
      </c>
      <c r="J41" s="19" t="n">
        <f aca="false">SUM(J35:J40)</f>
        <v>0</v>
      </c>
      <c r="K41" s="19" t="n">
        <f aca="false">SUM(K35:K40)</f>
        <v>0</v>
      </c>
      <c r="L41" s="19" t="n">
        <f aca="false">SUM(L35:L40)</f>
        <v>0</v>
      </c>
      <c r="M41" s="19" t="n">
        <f aca="false">SUM(M35:M40)</f>
        <v>5958.29022182283</v>
      </c>
      <c r="N41" s="19" t="n">
        <f aca="false">SUM(N35:N40)</f>
        <v>13156.2091403242</v>
      </c>
      <c r="O41" s="19" t="n">
        <f aca="false">SUM(O35:O40)</f>
        <v>15659.577363243</v>
      </c>
      <c r="P41" s="19" t="n">
        <f aca="false">SUM(P35:P40)</f>
        <v>20067.8823992392</v>
      </c>
      <c r="Q41" s="19" t="n">
        <f aca="false">SUM(Q35:Q40)</f>
        <v>30781.7550467636</v>
      </c>
      <c r="R41" s="19" t="n">
        <f aca="false">SUM(R35:R40)</f>
        <v>43633.9627178249</v>
      </c>
      <c r="S41" s="19" t="n">
        <f aca="false">SUM(S35:S40)</f>
        <v>47842.278564468</v>
      </c>
      <c r="T41" s="19" t="n">
        <f aca="false">SUM(T35:T40)</f>
        <v>58131.8621178776</v>
      </c>
      <c r="U41" s="19" t="n">
        <f aca="false">SUM(U35:U40)</f>
        <v>62861.0643188719</v>
      </c>
      <c r="V41" s="19" t="n">
        <f aca="false">SUM(V35:V40)</f>
        <v>72305.8446803641</v>
      </c>
      <c r="W41" s="19" t="n">
        <f aca="false">SUM(W35:W40)</f>
        <v>80995.4620993559</v>
      </c>
      <c r="X41" s="19" t="n">
        <f aca="false">SUM(X35:X40)</f>
        <v>93673.9958641735</v>
      </c>
      <c r="Y41" s="19" t="n">
        <f aca="false">SUM(Y35:Y40)</f>
        <v>101416.735170982</v>
      </c>
      <c r="Z41" s="19" t="n">
        <f aca="false">SUM(Z35:Z40)</f>
        <v>124821.459107762</v>
      </c>
      <c r="AA41" s="19" t="n">
        <f aca="false">SUM(AA35:AA40)</f>
        <v>112588.325671926</v>
      </c>
      <c r="AB41" s="19" t="n">
        <f aca="false">SUM(AB35:AB40)</f>
        <v>121305.69719443</v>
      </c>
      <c r="AC41" s="19" t="n">
        <f aca="false">SUM(AC35:AC40)</f>
        <v>136132.701235747</v>
      </c>
      <c r="AD41" s="19" t="n">
        <f aca="false">SUM(AD35:AD40)</f>
        <v>158290.187413185</v>
      </c>
      <c r="AE41" s="19" t="n">
        <f aca="false">SUM(AE35:AE40)</f>
        <v>151046.586973571</v>
      </c>
      <c r="AF41" s="19" t="n">
        <f aca="false">SUM(AF35:AF40)</f>
        <v>165502.688031584</v>
      </c>
      <c r="AG41" s="19" t="n">
        <f aca="false">SUM(AG35:AG40)</f>
        <v>158034.541832688</v>
      </c>
      <c r="AH41" s="19" t="n">
        <f aca="false">SUM(AH35:AH40)</f>
        <v>165665.403609006</v>
      </c>
      <c r="AI41" s="19" t="n">
        <f aca="false">SUM(AI35:AI40)</f>
        <v>172686.135365116</v>
      </c>
      <c r="AJ41" s="19" t="n">
        <f aca="false">SUM(AJ35:AJ40)</f>
        <v>188574.232004142</v>
      </c>
      <c r="AK41" s="19" t="n">
        <f aca="false">SUM(AK35:AK40)</f>
        <v>194829.938453517</v>
      </c>
      <c r="AL41" s="19" t="n">
        <f aca="false">SUM(AL35:AL40)</f>
        <v>230673.286166599</v>
      </c>
      <c r="AM41" s="19" t="n">
        <f aca="false">SUM(AM35:AM40)</f>
        <v>195586.767046626</v>
      </c>
      <c r="AN41" s="19" t="n">
        <f aca="false">SUM(AN35:AN40)</f>
        <v>200215.118673992</v>
      </c>
      <c r="AO41" s="19" t="n">
        <f aca="false">SUM(AO35:AO40)</f>
        <v>215235.166039674</v>
      </c>
      <c r="AP41" s="19" t="n">
        <f aca="false">SUM(AP35:AP40)</f>
        <v>241295.10009188</v>
      </c>
      <c r="AQ41" s="19" t="n">
        <f aca="false">SUM(AQ35:AQ40)</f>
        <v>223153.459661417</v>
      </c>
      <c r="AR41" s="19" t="n">
        <f aca="false">SUM(AR35:AR40)</f>
        <v>237976.581907878</v>
      </c>
      <c r="AS41" s="19" t="n">
        <f aca="false">SUM(AS35:AS40)</f>
        <v>218363.342979313</v>
      </c>
      <c r="AT41" s="19" t="n">
        <f aca="false">SUM(AT35:AT40)</f>
        <v>221170.580145241</v>
      </c>
      <c r="AU41" s="19" t="n">
        <f aca="false">SUM(AU35:AU40)</f>
        <v>223753.363020293</v>
      </c>
      <c r="AV41" s="19" t="n">
        <f aca="false">SUM(AV35:AV40)</f>
        <v>238031.197872301</v>
      </c>
      <c r="AW41" s="19" t="n">
        <f aca="false">SUM(AW35:AW40)</f>
        <v>240332.543665029</v>
      </c>
      <c r="AX41" s="19" t="n">
        <f aca="false">SUM(AX35:AX40)</f>
        <v>278817.366608924</v>
      </c>
      <c r="AY41" s="19" t="n">
        <f aca="false">SUM(AY35:AY40)</f>
        <v>232178.03460576</v>
      </c>
      <c r="AZ41" s="19" t="n">
        <f aca="false">SUM(AZ35:AZ40)</f>
        <v>233880.710015981</v>
      </c>
      <c r="BA41" s="19" t="n">
        <f aca="false">SUM(BA35:BA40)</f>
        <v>247839.207386401</v>
      </c>
      <c r="BB41" s="19" t="n">
        <f aca="false">SUM(BB35:BB40)</f>
        <v>274291.982840819</v>
      </c>
      <c r="BC41" s="19" t="n">
        <f aca="false">SUM(BC35:BC40)</f>
        <v>250752.184818999</v>
      </c>
      <c r="BD41" s="19" t="n">
        <f aca="false">SUM(BD35:BD40)</f>
        <v>264638.237486607</v>
      </c>
      <c r="BE41" s="19" t="n">
        <f aca="false">SUM(BE35:BE40)</f>
        <v>240557.068631676</v>
      </c>
      <c r="BF41" s="19" t="n">
        <f aca="false">SUM(BF35:BF40)</f>
        <v>241589.793471514</v>
      </c>
      <c r="BG41" s="19" t="n">
        <f aca="false">SUM(BG35:BG40)</f>
        <v>242539.946192255</v>
      </c>
      <c r="BH41" s="19" t="n">
        <f aca="false">SUM(BH35:BH40)</f>
        <v>256225.398837914</v>
      </c>
      <c r="BI41" s="19" t="n">
        <f aca="false">SUM(BI35:BI40)</f>
        <v>257072.016642085</v>
      </c>
      <c r="BJ41" s="19" t="n">
        <f aca="false">SUM(BJ35:BJ40)</f>
        <v>296528.584017759</v>
      </c>
    </row>
    <row r="42" customFormat="false" ht="15" hidden="false" customHeight="false" outlineLevel="0" collapsed="false">
      <c r="A42" s="4" t="s">
        <v>203</v>
      </c>
      <c r="B42" s="16" t="s">
        <v>194</v>
      </c>
      <c r="C42" s="19" t="n">
        <f aca="false">C32-C41</f>
        <v>0</v>
      </c>
      <c r="D42" s="19" t="n">
        <f aca="false">D32-D41</f>
        <v>0</v>
      </c>
      <c r="E42" s="19" t="n">
        <f aca="false">E32-E41</f>
        <v>0</v>
      </c>
      <c r="F42" s="19" t="n">
        <f aca="false">F32-F41</f>
        <v>0</v>
      </c>
      <c r="G42" s="19" t="n">
        <f aca="false">G32-G41</f>
        <v>0</v>
      </c>
      <c r="H42" s="19" t="n">
        <f aca="false">H32-H41</f>
        <v>0</v>
      </c>
      <c r="I42" s="19" t="n">
        <f aca="false">I32-I41</f>
        <v>0</v>
      </c>
      <c r="J42" s="19" t="n">
        <f aca="false">J32-J41</f>
        <v>0</v>
      </c>
      <c r="K42" s="19" t="n">
        <f aca="false">K32-K41</f>
        <v>0</v>
      </c>
      <c r="L42" s="19" t="n">
        <f aca="false">L32-L41</f>
        <v>0</v>
      </c>
      <c r="M42" s="19" t="n">
        <f aca="false">M32-M41</f>
        <v>8753.53748638169</v>
      </c>
      <c r="N42" s="19" t="n">
        <f aca="false">N32-N41</f>
        <v>19328.2578728219</v>
      </c>
      <c r="O42" s="19" t="n">
        <f aca="false">O32-O41</f>
        <v>23006.0457558755</v>
      </c>
      <c r="P42" s="19" t="n">
        <f aca="false">P32-P41</f>
        <v>29482.4445124625</v>
      </c>
      <c r="Q42" s="19" t="n">
        <f aca="false">Q32-Q41</f>
        <v>43892.1174614673</v>
      </c>
      <c r="R42" s="19" t="n">
        <f aca="false">R32-R41</f>
        <v>61294.2183247579</v>
      </c>
      <c r="S42" s="19" t="n">
        <f aca="false">S32-S41</f>
        <v>66606.0493410698</v>
      </c>
      <c r="T42" s="19" t="n">
        <f aca="false">T32-T41</f>
        <v>80450.8349599185</v>
      </c>
      <c r="U42" s="19" t="n">
        <f aca="false">U32-U41</f>
        <v>86508.9692177655</v>
      </c>
      <c r="V42" s="19" t="n">
        <f aca="false">V32-V41</f>
        <v>99132.0876483093</v>
      </c>
      <c r="W42" s="19" t="n">
        <f aca="false">W32-W41</f>
        <v>110745.917255536</v>
      </c>
      <c r="X42" s="19" t="n">
        <f aca="false">X32-X41</f>
        <v>127822.269808548</v>
      </c>
      <c r="Y42" s="19" t="n">
        <f aca="false">Y32-Y41</f>
        <v>138170.579828033</v>
      </c>
      <c r="Z42" s="19" t="n">
        <f aca="false">Z32-Z41</f>
        <v>169845.20736166</v>
      </c>
      <c r="AA42" s="19" t="n">
        <f aca="false">AA32-AA41</f>
        <v>152599.049419015</v>
      </c>
      <c r="AB42" s="19" t="n">
        <f aca="false">AB32-AB41</f>
        <v>163908.363240444</v>
      </c>
      <c r="AC42" s="19" t="n">
        <f aca="false">AC32-AC41</f>
        <v>183487.825531726</v>
      </c>
      <c r="AD42" s="19" t="n">
        <f aca="false">AD32-AD41</f>
        <v>212921.281998564</v>
      </c>
      <c r="AE42" s="19" t="n">
        <f aca="false">AE32-AE41</f>
        <v>202836.067564381</v>
      </c>
      <c r="AF42" s="19" t="n">
        <f aca="false">AF32-AF41</f>
        <v>221934.346023512</v>
      </c>
      <c r="AG42" s="19" t="n">
        <f aca="false">AG32-AG41</f>
        <v>212353.958931324</v>
      </c>
      <c r="AH42" s="19" t="n">
        <f aca="false">AH32-AH41</f>
        <v>222986.192104155</v>
      </c>
      <c r="AI42" s="19" t="n">
        <f aca="false">AI32-AI41</f>
        <v>232768.318849855</v>
      </c>
      <c r="AJ42" s="19" t="n">
        <f aca="false">AJ32-AJ41</f>
        <v>254492.957816244</v>
      </c>
      <c r="AK42" s="19" t="n">
        <f aca="false">AK32-AK41</f>
        <v>263209.159417085</v>
      </c>
      <c r="AL42" s="19" t="n">
        <f aca="false">AL32-AL41</f>
        <v>311912.719819229</v>
      </c>
      <c r="AM42" s="19" t="n">
        <f aca="false">AM32-AM41</f>
        <v>264676.22951318</v>
      </c>
      <c r="AN42" s="19" t="n">
        <f aca="false">AN32-AN41</f>
        <v>271125.004913716</v>
      </c>
      <c r="AO42" s="19" t="n">
        <f aca="false">AO32-AO41</f>
        <v>291640.173370713</v>
      </c>
      <c r="AP42" s="19" t="n">
        <f aca="false">AP32-AP41</f>
        <v>327124.872367706</v>
      </c>
      <c r="AQ42" s="19" t="n">
        <f aca="false">AQ32-AQ41</f>
        <v>302672.891114152</v>
      </c>
      <c r="AR42" s="19" t="n">
        <f aca="false">AR32-AR41</f>
        <v>322913.67984229</v>
      </c>
      <c r="AS42" s="19" t="n">
        <f aca="false">AS32-AS41</f>
        <v>296411.290806856</v>
      </c>
      <c r="AT42" s="19" t="n">
        <f aca="false">AT32-AT41</f>
        <v>300322.670804882</v>
      </c>
      <c r="AU42" s="19" t="n">
        <f aca="false">AU32-AU41</f>
        <v>303921.314125558</v>
      </c>
      <c r="AV42" s="19" t="n">
        <f aca="false">AV32-AV41</f>
        <v>323402.342961041</v>
      </c>
      <c r="AW42" s="19" t="n">
        <f aca="false">AW32-AW41</f>
        <v>326608.854335096</v>
      </c>
      <c r="AX42" s="19" t="n">
        <f aca="false">AX32-AX41</f>
        <v>378992.835297527</v>
      </c>
      <c r="AY42" s="19" t="n">
        <f aca="false">AY32-AY41</f>
        <v>315659.57846933</v>
      </c>
      <c r="AZ42" s="19" t="n">
        <f aca="false">AZ32-AZ41</f>
        <v>318031.950359919</v>
      </c>
      <c r="BA42" s="19" t="n">
        <f aca="false">BA32-BA41</f>
        <v>337068.039860294</v>
      </c>
      <c r="BB42" s="19" t="n">
        <f aca="false">BB32-BB41</f>
        <v>373100.092683198</v>
      </c>
      <c r="BC42" s="19" t="n">
        <f aca="false">BC32-BC41</f>
        <v>341126.749898353</v>
      </c>
      <c r="BD42" s="19" t="n">
        <f aca="false">BD32-BD41</f>
        <v>360061.900737406</v>
      </c>
      <c r="BE42" s="19" t="n">
        <f aca="false">BE32-BE41</f>
        <v>327334.255083589</v>
      </c>
      <c r="BF42" s="19" t="n">
        <f aca="false">BF32-BF41</f>
        <v>328773.171371472</v>
      </c>
      <c r="BG42" s="19" t="n">
        <f aca="false">BG32-BG41</f>
        <v>330097.038265258</v>
      </c>
      <c r="BH42" s="19" t="n">
        <f aca="false">BH32-BH41</f>
        <v>348752.689059577</v>
      </c>
      <c r="BI42" s="19" t="n">
        <f aca="false">BI32-BI41</f>
        <v>349932.298671974</v>
      </c>
      <c r="BJ42" s="19" t="n">
        <f aca="false">BJ32-BJ41</f>
        <v>403670.230693398</v>
      </c>
    </row>
    <row r="44" customFormat="false" ht="15" hidden="false" customHeight="false" outlineLevel="0" collapsed="false">
      <c r="A44" s="27" t="s">
        <v>204</v>
      </c>
    </row>
    <row r="45" customFormat="false" ht="15" hidden="false" customHeight="false" outlineLevel="0" collapsed="false">
      <c r="A45" s="6" t="s">
        <v>205</v>
      </c>
      <c r="B45" s="16" t="s">
        <v>194</v>
      </c>
      <c r="C45" s="23" t="n">
        <f aca="false">INDEX(Assumptions!$B$36:$F$36,C$5)/12*Assumptions!$E$3</f>
        <v>60458.3333333333</v>
      </c>
      <c r="D45" s="23" t="n">
        <f aca="false">INDEX(Assumptions!$B$36:$F$36,D$5)/12*Assumptions!$E$3</f>
        <v>60458.3333333333</v>
      </c>
      <c r="E45" s="23" t="n">
        <f aca="false">INDEX(Assumptions!$B$36:$F$36,E$5)/12*Assumptions!$E$3</f>
        <v>60458.3333333333</v>
      </c>
      <c r="F45" s="23" t="n">
        <f aca="false">INDEX(Assumptions!$B$36:$F$36,F$5)/12*Assumptions!$E$3</f>
        <v>60458.3333333333</v>
      </c>
      <c r="G45" s="23" t="n">
        <f aca="false">INDEX(Assumptions!$B$36:$F$36,G$5)/12*Assumptions!$E$3</f>
        <v>60458.3333333333</v>
      </c>
      <c r="H45" s="23" t="n">
        <f aca="false">INDEX(Assumptions!$B$36:$F$36,H$5)/12*Assumptions!$E$3</f>
        <v>60458.3333333333</v>
      </c>
      <c r="I45" s="23" t="n">
        <f aca="false">INDEX(Assumptions!$B$36:$F$36,I$5)/12*Assumptions!$E$3</f>
        <v>60458.3333333333</v>
      </c>
      <c r="J45" s="23" t="n">
        <f aca="false">INDEX(Assumptions!$B$36:$F$36,J$5)/12*Assumptions!$E$3</f>
        <v>60458.3333333333</v>
      </c>
      <c r="K45" s="23" t="n">
        <f aca="false">INDEX(Assumptions!$B$36:$F$36,K$5)/12*Assumptions!$E$3</f>
        <v>60458.3333333333</v>
      </c>
      <c r="L45" s="23" t="n">
        <f aca="false">INDEX(Assumptions!$B$36:$F$36,L$5)/12*Assumptions!$E$3</f>
        <v>60458.3333333333</v>
      </c>
      <c r="M45" s="23" t="n">
        <f aca="false">INDEX(Assumptions!$B$36:$F$36,M$5)/12*Assumptions!$E$3</f>
        <v>60458.3333333333</v>
      </c>
      <c r="N45" s="23" t="n">
        <f aca="false">INDEX(Assumptions!$B$36:$F$36,N$5)/12*Assumptions!$E$3</f>
        <v>60458.3333333333</v>
      </c>
      <c r="O45" s="23" t="n">
        <f aca="false">INDEX(Assumptions!$B$36:$F$36,O$5)/12*Assumptions!$E$3</f>
        <v>92375</v>
      </c>
      <c r="P45" s="23" t="n">
        <f aca="false">INDEX(Assumptions!$B$36:$F$36,P$5)/12*Assumptions!$E$3</f>
        <v>92375</v>
      </c>
      <c r="Q45" s="23" t="n">
        <f aca="false">INDEX(Assumptions!$B$36:$F$36,Q$5)/12*Assumptions!$E$3</f>
        <v>92375</v>
      </c>
      <c r="R45" s="23" t="n">
        <f aca="false">INDEX(Assumptions!$B$36:$F$36,R$5)/12*Assumptions!$E$3</f>
        <v>92375</v>
      </c>
      <c r="S45" s="23" t="n">
        <f aca="false">INDEX(Assumptions!$B$36:$F$36,S$5)/12*Assumptions!$E$3</f>
        <v>92375</v>
      </c>
      <c r="T45" s="23" t="n">
        <f aca="false">INDEX(Assumptions!$B$36:$F$36,T$5)/12*Assumptions!$E$3</f>
        <v>92375</v>
      </c>
      <c r="U45" s="23" t="n">
        <f aca="false">INDEX(Assumptions!$B$36:$F$36,U$5)/12*Assumptions!$E$3</f>
        <v>92375</v>
      </c>
      <c r="V45" s="23" t="n">
        <f aca="false">INDEX(Assumptions!$B$36:$F$36,V$5)/12*Assumptions!$E$3</f>
        <v>92375</v>
      </c>
      <c r="W45" s="23" t="n">
        <f aca="false">INDEX(Assumptions!$B$36:$F$36,W$5)/12*Assumptions!$E$3</f>
        <v>92375</v>
      </c>
      <c r="X45" s="23" t="n">
        <f aca="false">INDEX(Assumptions!$B$36:$F$36,X$5)/12*Assumptions!$E$3</f>
        <v>92375</v>
      </c>
      <c r="Y45" s="23" t="n">
        <f aca="false">INDEX(Assumptions!$B$36:$F$36,Y$5)/12*Assumptions!$E$3</f>
        <v>92375</v>
      </c>
      <c r="Z45" s="23" t="n">
        <f aca="false">INDEX(Assumptions!$B$36:$F$36,Z$5)/12*Assumptions!$E$3</f>
        <v>92375</v>
      </c>
      <c r="AA45" s="23" t="n">
        <f aca="false">INDEX(Assumptions!$B$36:$F$36,AA$5)/12*Assumptions!$E$3</f>
        <v>129791.666666667</v>
      </c>
      <c r="AB45" s="23" t="n">
        <f aca="false">INDEX(Assumptions!$B$36:$F$36,AB$5)/12*Assumptions!$E$3</f>
        <v>129791.666666667</v>
      </c>
      <c r="AC45" s="23" t="n">
        <f aca="false">INDEX(Assumptions!$B$36:$F$36,AC$5)/12*Assumptions!$E$3</f>
        <v>129791.666666667</v>
      </c>
      <c r="AD45" s="23" t="n">
        <f aca="false">INDEX(Assumptions!$B$36:$F$36,AD$5)/12*Assumptions!$E$3</f>
        <v>129791.666666667</v>
      </c>
      <c r="AE45" s="23" t="n">
        <f aca="false">INDEX(Assumptions!$B$36:$F$36,AE$5)/12*Assumptions!$E$3</f>
        <v>129791.666666667</v>
      </c>
      <c r="AF45" s="23" t="n">
        <f aca="false">INDEX(Assumptions!$B$36:$F$36,AF$5)/12*Assumptions!$E$3</f>
        <v>129791.666666667</v>
      </c>
      <c r="AG45" s="23" t="n">
        <f aca="false">INDEX(Assumptions!$B$36:$F$36,AG$5)/12*Assumptions!$E$3</f>
        <v>129791.666666667</v>
      </c>
      <c r="AH45" s="23" t="n">
        <f aca="false">INDEX(Assumptions!$B$36:$F$36,AH$5)/12*Assumptions!$E$3</f>
        <v>129791.666666667</v>
      </c>
      <c r="AI45" s="23" t="n">
        <f aca="false">INDEX(Assumptions!$B$36:$F$36,AI$5)/12*Assumptions!$E$3</f>
        <v>129791.666666667</v>
      </c>
      <c r="AJ45" s="23" t="n">
        <f aca="false">INDEX(Assumptions!$B$36:$F$36,AJ$5)/12*Assumptions!$E$3</f>
        <v>129791.666666667</v>
      </c>
      <c r="AK45" s="23" t="n">
        <f aca="false">INDEX(Assumptions!$B$36:$F$36,AK$5)/12*Assumptions!$E$3</f>
        <v>129791.666666667</v>
      </c>
      <c r="AL45" s="23" t="n">
        <f aca="false">INDEX(Assumptions!$B$36:$F$36,AL$5)/12*Assumptions!$E$3</f>
        <v>129791.666666667</v>
      </c>
      <c r="AM45" s="23" t="n">
        <f aca="false">INDEX(Assumptions!$B$36:$F$36,AM$5)/12*Assumptions!$E$3</f>
        <v>157708.333333333</v>
      </c>
      <c r="AN45" s="23" t="n">
        <f aca="false">INDEX(Assumptions!$B$36:$F$36,AN$5)/12*Assumptions!$E$3</f>
        <v>157708.333333333</v>
      </c>
      <c r="AO45" s="23" t="n">
        <f aca="false">INDEX(Assumptions!$B$36:$F$36,AO$5)/12*Assumptions!$E$3</f>
        <v>157708.333333333</v>
      </c>
      <c r="AP45" s="23" t="n">
        <f aca="false">INDEX(Assumptions!$B$36:$F$36,AP$5)/12*Assumptions!$E$3</f>
        <v>157708.333333333</v>
      </c>
      <c r="AQ45" s="23" t="n">
        <f aca="false">INDEX(Assumptions!$B$36:$F$36,AQ$5)/12*Assumptions!$E$3</f>
        <v>157708.333333333</v>
      </c>
      <c r="AR45" s="23" t="n">
        <f aca="false">INDEX(Assumptions!$B$36:$F$36,AR$5)/12*Assumptions!$E$3</f>
        <v>157708.333333333</v>
      </c>
      <c r="AS45" s="23" t="n">
        <f aca="false">INDEX(Assumptions!$B$36:$F$36,AS$5)/12*Assumptions!$E$3</f>
        <v>157708.333333333</v>
      </c>
      <c r="AT45" s="23" t="n">
        <f aca="false">INDEX(Assumptions!$B$36:$F$36,AT$5)/12*Assumptions!$E$3</f>
        <v>157708.333333333</v>
      </c>
      <c r="AU45" s="23" t="n">
        <f aca="false">INDEX(Assumptions!$B$36:$F$36,AU$5)/12*Assumptions!$E$3</f>
        <v>157708.333333333</v>
      </c>
      <c r="AV45" s="23" t="n">
        <f aca="false">INDEX(Assumptions!$B$36:$F$36,AV$5)/12*Assumptions!$E$3</f>
        <v>157708.333333333</v>
      </c>
      <c r="AW45" s="23" t="n">
        <f aca="false">INDEX(Assumptions!$B$36:$F$36,AW$5)/12*Assumptions!$E$3</f>
        <v>157708.333333333</v>
      </c>
      <c r="AX45" s="23" t="n">
        <f aca="false">INDEX(Assumptions!$B$36:$F$36,AX$5)/12*Assumptions!$E$3</f>
        <v>157708.333333333</v>
      </c>
      <c r="AY45" s="23" t="n">
        <f aca="false">INDEX(Assumptions!$B$36:$F$36,AY$5)/12*Assumptions!$E$3</f>
        <v>170166.666666667</v>
      </c>
      <c r="AZ45" s="23" t="n">
        <f aca="false">INDEX(Assumptions!$B$36:$F$36,AZ$5)/12*Assumptions!$E$3</f>
        <v>170166.666666667</v>
      </c>
      <c r="BA45" s="23" t="n">
        <f aca="false">INDEX(Assumptions!$B$36:$F$36,BA$5)/12*Assumptions!$E$3</f>
        <v>170166.666666667</v>
      </c>
      <c r="BB45" s="23" t="n">
        <f aca="false">INDEX(Assumptions!$B$36:$F$36,BB$5)/12*Assumptions!$E$3</f>
        <v>170166.666666667</v>
      </c>
      <c r="BC45" s="23" t="n">
        <f aca="false">INDEX(Assumptions!$B$36:$F$36,BC$5)/12*Assumptions!$E$3</f>
        <v>170166.666666667</v>
      </c>
      <c r="BD45" s="23" t="n">
        <f aca="false">INDEX(Assumptions!$B$36:$F$36,BD$5)/12*Assumptions!$E$3</f>
        <v>170166.666666667</v>
      </c>
      <c r="BE45" s="23" t="n">
        <f aca="false">INDEX(Assumptions!$B$36:$F$36,BE$5)/12*Assumptions!$E$3</f>
        <v>170166.666666667</v>
      </c>
      <c r="BF45" s="23" t="n">
        <f aca="false">INDEX(Assumptions!$B$36:$F$36,BF$5)/12*Assumptions!$E$3</f>
        <v>170166.666666667</v>
      </c>
      <c r="BG45" s="23" t="n">
        <f aca="false">INDEX(Assumptions!$B$36:$F$36,BG$5)/12*Assumptions!$E$3</f>
        <v>170166.666666667</v>
      </c>
      <c r="BH45" s="23" t="n">
        <f aca="false">INDEX(Assumptions!$B$36:$F$36,BH$5)/12*Assumptions!$E$3</f>
        <v>170166.666666667</v>
      </c>
      <c r="BI45" s="23" t="n">
        <f aca="false">INDEX(Assumptions!$B$36:$F$36,BI$5)/12*Assumptions!$E$3</f>
        <v>170166.666666667</v>
      </c>
      <c r="BJ45" s="23" t="n">
        <f aca="false">INDEX(Assumptions!$B$36:$F$36,BJ$5)/12*Assumptions!$E$3</f>
        <v>170166.666666667</v>
      </c>
    </row>
    <row r="46" customFormat="false" ht="15" hidden="false" customHeight="false" outlineLevel="0" collapsed="false">
      <c r="A46" s="6" t="s">
        <v>206</v>
      </c>
      <c r="B46" s="16" t="s">
        <v>194</v>
      </c>
      <c r="C46" s="23" t="n">
        <f aca="false">INDEX(Assumptions!$B$37:$F$37,C$5)/12*Assumptions!$E$3</f>
        <v>5000</v>
      </c>
      <c r="D46" s="23" t="n">
        <f aca="false">INDEX(Assumptions!$B$37:$F$37,D$5)/12*Assumptions!$E$3</f>
        <v>5000</v>
      </c>
      <c r="E46" s="23" t="n">
        <f aca="false">INDEX(Assumptions!$B$37:$F$37,E$5)/12*Assumptions!$E$3</f>
        <v>5000</v>
      </c>
      <c r="F46" s="23" t="n">
        <f aca="false">INDEX(Assumptions!$B$37:$F$37,F$5)/12*Assumptions!$E$3</f>
        <v>5000</v>
      </c>
      <c r="G46" s="23" t="n">
        <f aca="false">INDEX(Assumptions!$B$37:$F$37,G$5)/12*Assumptions!$E$3</f>
        <v>5000</v>
      </c>
      <c r="H46" s="23" t="n">
        <f aca="false">INDEX(Assumptions!$B$37:$F$37,H$5)/12*Assumptions!$E$3</f>
        <v>5000</v>
      </c>
      <c r="I46" s="23" t="n">
        <f aca="false">INDEX(Assumptions!$B$37:$F$37,I$5)/12*Assumptions!$E$3</f>
        <v>5000</v>
      </c>
      <c r="J46" s="23" t="n">
        <f aca="false">INDEX(Assumptions!$B$37:$F$37,J$5)/12*Assumptions!$E$3</f>
        <v>5000</v>
      </c>
      <c r="K46" s="23" t="n">
        <f aca="false">INDEX(Assumptions!$B$37:$F$37,K$5)/12*Assumptions!$E$3</f>
        <v>5000</v>
      </c>
      <c r="L46" s="23" t="n">
        <f aca="false">INDEX(Assumptions!$B$37:$F$37,L$5)/12*Assumptions!$E$3</f>
        <v>5000</v>
      </c>
      <c r="M46" s="23" t="n">
        <f aca="false">INDEX(Assumptions!$B$37:$F$37,M$5)/12*Assumptions!$E$3</f>
        <v>5000</v>
      </c>
      <c r="N46" s="23" t="n">
        <f aca="false">INDEX(Assumptions!$B$37:$F$37,N$5)/12*Assumptions!$E$3</f>
        <v>5000</v>
      </c>
      <c r="O46" s="23" t="n">
        <f aca="false">INDEX(Assumptions!$B$37:$F$37,O$5)/12*Assumptions!$E$3</f>
        <v>16666.6666666667</v>
      </c>
      <c r="P46" s="23" t="n">
        <f aca="false">INDEX(Assumptions!$B$37:$F$37,P$5)/12*Assumptions!$E$3</f>
        <v>16666.6666666667</v>
      </c>
      <c r="Q46" s="23" t="n">
        <f aca="false">INDEX(Assumptions!$B$37:$F$37,Q$5)/12*Assumptions!$E$3</f>
        <v>16666.6666666667</v>
      </c>
      <c r="R46" s="23" t="n">
        <f aca="false">INDEX(Assumptions!$B$37:$F$37,R$5)/12*Assumptions!$E$3</f>
        <v>16666.6666666667</v>
      </c>
      <c r="S46" s="23" t="n">
        <f aca="false">INDEX(Assumptions!$B$37:$F$37,S$5)/12*Assumptions!$E$3</f>
        <v>16666.6666666667</v>
      </c>
      <c r="T46" s="23" t="n">
        <f aca="false">INDEX(Assumptions!$B$37:$F$37,T$5)/12*Assumptions!$E$3</f>
        <v>16666.6666666667</v>
      </c>
      <c r="U46" s="23" t="n">
        <f aca="false">INDEX(Assumptions!$B$37:$F$37,U$5)/12*Assumptions!$E$3</f>
        <v>16666.6666666667</v>
      </c>
      <c r="V46" s="23" t="n">
        <f aca="false">INDEX(Assumptions!$B$37:$F$37,V$5)/12*Assumptions!$E$3</f>
        <v>16666.6666666667</v>
      </c>
      <c r="W46" s="23" t="n">
        <f aca="false">INDEX(Assumptions!$B$37:$F$37,W$5)/12*Assumptions!$E$3</f>
        <v>16666.6666666667</v>
      </c>
      <c r="X46" s="23" t="n">
        <f aca="false">INDEX(Assumptions!$B$37:$F$37,X$5)/12*Assumptions!$E$3</f>
        <v>16666.6666666667</v>
      </c>
      <c r="Y46" s="23" t="n">
        <f aca="false">INDEX(Assumptions!$B$37:$F$37,Y$5)/12*Assumptions!$E$3</f>
        <v>16666.6666666667</v>
      </c>
      <c r="Z46" s="23" t="n">
        <f aca="false">INDEX(Assumptions!$B$37:$F$37,Z$5)/12*Assumptions!$E$3</f>
        <v>16666.6666666667</v>
      </c>
      <c r="AA46" s="23" t="n">
        <f aca="false">INDEX(Assumptions!$B$37:$F$37,AA$5)/12*Assumptions!$E$3</f>
        <v>25000</v>
      </c>
      <c r="AB46" s="23" t="n">
        <f aca="false">INDEX(Assumptions!$B$37:$F$37,AB$5)/12*Assumptions!$E$3</f>
        <v>25000</v>
      </c>
      <c r="AC46" s="23" t="n">
        <f aca="false">INDEX(Assumptions!$B$37:$F$37,AC$5)/12*Assumptions!$E$3</f>
        <v>25000</v>
      </c>
      <c r="AD46" s="23" t="n">
        <f aca="false">INDEX(Assumptions!$B$37:$F$37,AD$5)/12*Assumptions!$E$3</f>
        <v>25000</v>
      </c>
      <c r="AE46" s="23" t="n">
        <f aca="false">INDEX(Assumptions!$B$37:$F$37,AE$5)/12*Assumptions!$E$3</f>
        <v>25000</v>
      </c>
      <c r="AF46" s="23" t="n">
        <f aca="false">INDEX(Assumptions!$B$37:$F$37,AF$5)/12*Assumptions!$E$3</f>
        <v>25000</v>
      </c>
      <c r="AG46" s="23" t="n">
        <f aca="false">INDEX(Assumptions!$B$37:$F$37,AG$5)/12*Assumptions!$E$3</f>
        <v>25000</v>
      </c>
      <c r="AH46" s="23" t="n">
        <f aca="false">INDEX(Assumptions!$B$37:$F$37,AH$5)/12*Assumptions!$E$3</f>
        <v>25000</v>
      </c>
      <c r="AI46" s="23" t="n">
        <f aca="false">INDEX(Assumptions!$B$37:$F$37,AI$5)/12*Assumptions!$E$3</f>
        <v>25000</v>
      </c>
      <c r="AJ46" s="23" t="n">
        <f aca="false">INDEX(Assumptions!$B$37:$F$37,AJ$5)/12*Assumptions!$E$3</f>
        <v>25000</v>
      </c>
      <c r="AK46" s="23" t="n">
        <f aca="false">INDEX(Assumptions!$B$37:$F$37,AK$5)/12*Assumptions!$E$3</f>
        <v>25000</v>
      </c>
      <c r="AL46" s="23" t="n">
        <f aca="false">INDEX(Assumptions!$B$37:$F$37,AL$5)/12*Assumptions!$E$3</f>
        <v>25000</v>
      </c>
      <c r="AM46" s="23" t="n">
        <f aca="false">INDEX(Assumptions!$B$37:$F$37,AM$5)/12*Assumptions!$E$3</f>
        <v>30000</v>
      </c>
      <c r="AN46" s="23" t="n">
        <f aca="false">INDEX(Assumptions!$B$37:$F$37,AN$5)/12*Assumptions!$E$3</f>
        <v>30000</v>
      </c>
      <c r="AO46" s="23" t="n">
        <f aca="false">INDEX(Assumptions!$B$37:$F$37,AO$5)/12*Assumptions!$E$3</f>
        <v>30000</v>
      </c>
      <c r="AP46" s="23" t="n">
        <f aca="false">INDEX(Assumptions!$B$37:$F$37,AP$5)/12*Assumptions!$E$3</f>
        <v>30000</v>
      </c>
      <c r="AQ46" s="23" t="n">
        <f aca="false">INDEX(Assumptions!$B$37:$F$37,AQ$5)/12*Assumptions!$E$3</f>
        <v>30000</v>
      </c>
      <c r="AR46" s="23" t="n">
        <f aca="false">INDEX(Assumptions!$B$37:$F$37,AR$5)/12*Assumptions!$E$3</f>
        <v>30000</v>
      </c>
      <c r="AS46" s="23" t="n">
        <f aca="false">INDEX(Assumptions!$B$37:$F$37,AS$5)/12*Assumptions!$E$3</f>
        <v>30000</v>
      </c>
      <c r="AT46" s="23" t="n">
        <f aca="false">INDEX(Assumptions!$B$37:$F$37,AT$5)/12*Assumptions!$E$3</f>
        <v>30000</v>
      </c>
      <c r="AU46" s="23" t="n">
        <f aca="false">INDEX(Assumptions!$B$37:$F$37,AU$5)/12*Assumptions!$E$3</f>
        <v>30000</v>
      </c>
      <c r="AV46" s="23" t="n">
        <f aca="false">INDEX(Assumptions!$B$37:$F$37,AV$5)/12*Assumptions!$E$3</f>
        <v>30000</v>
      </c>
      <c r="AW46" s="23" t="n">
        <f aca="false">INDEX(Assumptions!$B$37:$F$37,AW$5)/12*Assumptions!$E$3</f>
        <v>30000</v>
      </c>
      <c r="AX46" s="23" t="n">
        <f aca="false">INDEX(Assumptions!$B$37:$F$37,AX$5)/12*Assumptions!$E$3</f>
        <v>30000</v>
      </c>
      <c r="AY46" s="23" t="n">
        <f aca="false">INDEX(Assumptions!$B$37:$F$37,AY$5)/12*Assumptions!$E$3</f>
        <v>33333.3333333333</v>
      </c>
      <c r="AZ46" s="23" t="n">
        <f aca="false">INDEX(Assumptions!$B$37:$F$37,AZ$5)/12*Assumptions!$E$3</f>
        <v>33333.3333333333</v>
      </c>
      <c r="BA46" s="23" t="n">
        <f aca="false">INDEX(Assumptions!$B$37:$F$37,BA$5)/12*Assumptions!$E$3</f>
        <v>33333.3333333333</v>
      </c>
      <c r="BB46" s="23" t="n">
        <f aca="false">INDEX(Assumptions!$B$37:$F$37,BB$5)/12*Assumptions!$E$3</f>
        <v>33333.3333333333</v>
      </c>
      <c r="BC46" s="23" t="n">
        <f aca="false">INDEX(Assumptions!$B$37:$F$37,BC$5)/12*Assumptions!$E$3</f>
        <v>33333.3333333333</v>
      </c>
      <c r="BD46" s="23" t="n">
        <f aca="false">INDEX(Assumptions!$B$37:$F$37,BD$5)/12*Assumptions!$E$3</f>
        <v>33333.3333333333</v>
      </c>
      <c r="BE46" s="23" t="n">
        <f aca="false">INDEX(Assumptions!$B$37:$F$37,BE$5)/12*Assumptions!$E$3</f>
        <v>33333.3333333333</v>
      </c>
      <c r="BF46" s="23" t="n">
        <f aca="false">INDEX(Assumptions!$B$37:$F$37,BF$5)/12*Assumptions!$E$3</f>
        <v>33333.3333333333</v>
      </c>
      <c r="BG46" s="23" t="n">
        <f aca="false">INDEX(Assumptions!$B$37:$F$37,BG$5)/12*Assumptions!$E$3</f>
        <v>33333.3333333333</v>
      </c>
      <c r="BH46" s="23" t="n">
        <f aca="false">INDEX(Assumptions!$B$37:$F$37,BH$5)/12*Assumptions!$E$3</f>
        <v>33333.3333333333</v>
      </c>
      <c r="BI46" s="23" t="n">
        <f aca="false">INDEX(Assumptions!$B$37:$F$37,BI$5)/12*Assumptions!$E$3</f>
        <v>33333.3333333333</v>
      </c>
      <c r="BJ46" s="23" t="n">
        <f aca="false">INDEX(Assumptions!$B$37:$F$37,BJ$5)/12*Assumptions!$E$3</f>
        <v>33333.3333333333</v>
      </c>
    </row>
    <row r="47" customFormat="false" ht="15" hidden="false" customHeight="false" outlineLevel="0" collapsed="false">
      <c r="A47" s="6" t="s">
        <v>207</v>
      </c>
      <c r="B47" s="16" t="s">
        <v>194</v>
      </c>
      <c r="C47" s="23" t="n">
        <f aca="false">INDEX(Assumptions!$B$38:$F$38,C$5)/12*Assumptions!$E$3</f>
        <v>23333.3333333333</v>
      </c>
      <c r="D47" s="23" t="n">
        <f aca="false">INDEX(Assumptions!$B$38:$F$38,D$5)/12*Assumptions!$E$3</f>
        <v>23333.3333333333</v>
      </c>
      <c r="E47" s="23" t="n">
        <f aca="false">INDEX(Assumptions!$B$38:$F$38,E$5)/12*Assumptions!$E$3</f>
        <v>23333.3333333333</v>
      </c>
      <c r="F47" s="23" t="n">
        <f aca="false">INDEX(Assumptions!$B$38:$F$38,F$5)/12*Assumptions!$E$3</f>
        <v>23333.3333333333</v>
      </c>
      <c r="G47" s="23" t="n">
        <f aca="false">INDEX(Assumptions!$B$38:$F$38,G$5)/12*Assumptions!$E$3</f>
        <v>23333.3333333333</v>
      </c>
      <c r="H47" s="23" t="n">
        <f aca="false">INDEX(Assumptions!$B$38:$F$38,H$5)/12*Assumptions!$E$3</f>
        <v>23333.3333333333</v>
      </c>
      <c r="I47" s="23" t="n">
        <f aca="false">INDEX(Assumptions!$B$38:$F$38,I$5)/12*Assumptions!$E$3</f>
        <v>23333.3333333333</v>
      </c>
      <c r="J47" s="23" t="n">
        <f aca="false">INDEX(Assumptions!$B$38:$F$38,J$5)/12*Assumptions!$E$3</f>
        <v>23333.3333333333</v>
      </c>
      <c r="K47" s="23" t="n">
        <f aca="false">INDEX(Assumptions!$B$38:$F$38,K$5)/12*Assumptions!$E$3</f>
        <v>23333.3333333333</v>
      </c>
      <c r="L47" s="23" t="n">
        <f aca="false">INDEX(Assumptions!$B$38:$F$38,L$5)/12*Assumptions!$E$3</f>
        <v>23333.3333333333</v>
      </c>
      <c r="M47" s="23" t="n">
        <f aca="false">INDEX(Assumptions!$B$38:$F$38,M$5)/12*Assumptions!$E$3</f>
        <v>23333.3333333333</v>
      </c>
      <c r="N47" s="23" t="n">
        <f aca="false">INDEX(Assumptions!$B$38:$F$38,N$5)/12*Assumptions!$E$3</f>
        <v>23333.3333333333</v>
      </c>
      <c r="O47" s="23" t="n">
        <f aca="false">INDEX(Assumptions!$B$38:$F$38,O$5)/12*Assumptions!$E$3</f>
        <v>30000</v>
      </c>
      <c r="P47" s="23" t="n">
        <f aca="false">INDEX(Assumptions!$B$38:$F$38,P$5)/12*Assumptions!$E$3</f>
        <v>30000</v>
      </c>
      <c r="Q47" s="23" t="n">
        <f aca="false">INDEX(Assumptions!$B$38:$F$38,Q$5)/12*Assumptions!$E$3</f>
        <v>30000</v>
      </c>
      <c r="R47" s="23" t="n">
        <f aca="false">INDEX(Assumptions!$B$38:$F$38,R$5)/12*Assumptions!$E$3</f>
        <v>30000</v>
      </c>
      <c r="S47" s="23" t="n">
        <f aca="false">INDEX(Assumptions!$B$38:$F$38,S$5)/12*Assumptions!$E$3</f>
        <v>30000</v>
      </c>
      <c r="T47" s="23" t="n">
        <f aca="false">INDEX(Assumptions!$B$38:$F$38,T$5)/12*Assumptions!$E$3</f>
        <v>30000</v>
      </c>
      <c r="U47" s="23" t="n">
        <f aca="false">INDEX(Assumptions!$B$38:$F$38,U$5)/12*Assumptions!$E$3</f>
        <v>30000</v>
      </c>
      <c r="V47" s="23" t="n">
        <f aca="false">INDEX(Assumptions!$B$38:$F$38,V$5)/12*Assumptions!$E$3</f>
        <v>30000</v>
      </c>
      <c r="W47" s="23" t="n">
        <f aca="false">INDEX(Assumptions!$B$38:$F$38,W$5)/12*Assumptions!$E$3</f>
        <v>30000</v>
      </c>
      <c r="X47" s="23" t="n">
        <f aca="false">INDEX(Assumptions!$B$38:$F$38,X$5)/12*Assumptions!$E$3</f>
        <v>30000</v>
      </c>
      <c r="Y47" s="23" t="n">
        <f aca="false">INDEX(Assumptions!$B$38:$F$38,Y$5)/12*Assumptions!$E$3</f>
        <v>30000</v>
      </c>
      <c r="Z47" s="23" t="n">
        <f aca="false">INDEX(Assumptions!$B$38:$F$38,Z$5)/12*Assumptions!$E$3</f>
        <v>30000</v>
      </c>
      <c r="AA47" s="23" t="n">
        <f aca="false">INDEX(Assumptions!$B$38:$F$38,AA$5)/12*Assumptions!$E$3</f>
        <v>30000</v>
      </c>
      <c r="AB47" s="23" t="n">
        <f aca="false">INDEX(Assumptions!$B$38:$F$38,AB$5)/12*Assumptions!$E$3</f>
        <v>30000</v>
      </c>
      <c r="AC47" s="23" t="n">
        <f aca="false">INDEX(Assumptions!$B$38:$F$38,AC$5)/12*Assumptions!$E$3</f>
        <v>30000</v>
      </c>
      <c r="AD47" s="23" t="n">
        <f aca="false">INDEX(Assumptions!$B$38:$F$38,AD$5)/12*Assumptions!$E$3</f>
        <v>30000</v>
      </c>
      <c r="AE47" s="23" t="n">
        <f aca="false">INDEX(Assumptions!$B$38:$F$38,AE$5)/12*Assumptions!$E$3</f>
        <v>30000</v>
      </c>
      <c r="AF47" s="23" t="n">
        <f aca="false">INDEX(Assumptions!$B$38:$F$38,AF$5)/12*Assumptions!$E$3</f>
        <v>30000</v>
      </c>
      <c r="AG47" s="23" t="n">
        <f aca="false">INDEX(Assumptions!$B$38:$F$38,AG$5)/12*Assumptions!$E$3</f>
        <v>30000</v>
      </c>
      <c r="AH47" s="23" t="n">
        <f aca="false">INDEX(Assumptions!$B$38:$F$38,AH$5)/12*Assumptions!$E$3</f>
        <v>30000</v>
      </c>
      <c r="AI47" s="23" t="n">
        <f aca="false">INDEX(Assumptions!$B$38:$F$38,AI$5)/12*Assumptions!$E$3</f>
        <v>30000</v>
      </c>
      <c r="AJ47" s="23" t="n">
        <f aca="false">INDEX(Assumptions!$B$38:$F$38,AJ$5)/12*Assumptions!$E$3</f>
        <v>30000</v>
      </c>
      <c r="AK47" s="23" t="n">
        <f aca="false">INDEX(Assumptions!$B$38:$F$38,AK$5)/12*Assumptions!$E$3</f>
        <v>30000</v>
      </c>
      <c r="AL47" s="23" t="n">
        <f aca="false">INDEX(Assumptions!$B$38:$F$38,AL$5)/12*Assumptions!$E$3</f>
        <v>30000</v>
      </c>
      <c r="AM47" s="23" t="n">
        <f aca="false">INDEX(Assumptions!$B$38:$F$38,AM$5)/12*Assumptions!$E$3</f>
        <v>31666.6666666667</v>
      </c>
      <c r="AN47" s="23" t="n">
        <f aca="false">INDEX(Assumptions!$B$38:$F$38,AN$5)/12*Assumptions!$E$3</f>
        <v>31666.6666666667</v>
      </c>
      <c r="AO47" s="23" t="n">
        <f aca="false">INDEX(Assumptions!$B$38:$F$38,AO$5)/12*Assumptions!$E$3</f>
        <v>31666.6666666667</v>
      </c>
      <c r="AP47" s="23" t="n">
        <f aca="false">INDEX(Assumptions!$B$38:$F$38,AP$5)/12*Assumptions!$E$3</f>
        <v>31666.6666666667</v>
      </c>
      <c r="AQ47" s="23" t="n">
        <f aca="false">INDEX(Assumptions!$B$38:$F$38,AQ$5)/12*Assumptions!$E$3</f>
        <v>31666.6666666667</v>
      </c>
      <c r="AR47" s="23" t="n">
        <f aca="false">INDEX(Assumptions!$B$38:$F$38,AR$5)/12*Assumptions!$E$3</f>
        <v>31666.6666666667</v>
      </c>
      <c r="AS47" s="23" t="n">
        <f aca="false">INDEX(Assumptions!$B$38:$F$38,AS$5)/12*Assumptions!$E$3</f>
        <v>31666.6666666667</v>
      </c>
      <c r="AT47" s="23" t="n">
        <f aca="false">INDEX(Assumptions!$B$38:$F$38,AT$5)/12*Assumptions!$E$3</f>
        <v>31666.6666666667</v>
      </c>
      <c r="AU47" s="23" t="n">
        <f aca="false">INDEX(Assumptions!$B$38:$F$38,AU$5)/12*Assumptions!$E$3</f>
        <v>31666.6666666667</v>
      </c>
      <c r="AV47" s="23" t="n">
        <f aca="false">INDEX(Assumptions!$B$38:$F$38,AV$5)/12*Assumptions!$E$3</f>
        <v>31666.6666666667</v>
      </c>
      <c r="AW47" s="23" t="n">
        <f aca="false">INDEX(Assumptions!$B$38:$F$38,AW$5)/12*Assumptions!$E$3</f>
        <v>31666.6666666667</v>
      </c>
      <c r="AX47" s="23" t="n">
        <f aca="false">INDEX(Assumptions!$B$38:$F$38,AX$5)/12*Assumptions!$E$3</f>
        <v>31666.6666666667</v>
      </c>
      <c r="AY47" s="23" t="n">
        <f aca="false">INDEX(Assumptions!$B$38:$F$38,AY$5)/12*Assumptions!$E$3</f>
        <v>33333.3333333333</v>
      </c>
      <c r="AZ47" s="23" t="n">
        <f aca="false">INDEX(Assumptions!$B$38:$F$38,AZ$5)/12*Assumptions!$E$3</f>
        <v>33333.3333333333</v>
      </c>
      <c r="BA47" s="23" t="n">
        <f aca="false">INDEX(Assumptions!$B$38:$F$38,BA$5)/12*Assumptions!$E$3</f>
        <v>33333.3333333333</v>
      </c>
      <c r="BB47" s="23" t="n">
        <f aca="false">INDEX(Assumptions!$B$38:$F$38,BB$5)/12*Assumptions!$E$3</f>
        <v>33333.3333333333</v>
      </c>
      <c r="BC47" s="23" t="n">
        <f aca="false">INDEX(Assumptions!$B$38:$F$38,BC$5)/12*Assumptions!$E$3</f>
        <v>33333.3333333333</v>
      </c>
      <c r="BD47" s="23" t="n">
        <f aca="false">INDEX(Assumptions!$B$38:$F$38,BD$5)/12*Assumptions!$E$3</f>
        <v>33333.3333333333</v>
      </c>
      <c r="BE47" s="23" t="n">
        <f aca="false">INDEX(Assumptions!$B$38:$F$38,BE$5)/12*Assumptions!$E$3</f>
        <v>33333.3333333333</v>
      </c>
      <c r="BF47" s="23" t="n">
        <f aca="false">INDEX(Assumptions!$B$38:$F$38,BF$5)/12*Assumptions!$E$3</f>
        <v>33333.3333333333</v>
      </c>
      <c r="BG47" s="23" t="n">
        <f aca="false">INDEX(Assumptions!$B$38:$F$38,BG$5)/12*Assumptions!$E$3</f>
        <v>33333.3333333333</v>
      </c>
      <c r="BH47" s="23" t="n">
        <f aca="false">INDEX(Assumptions!$B$38:$F$38,BH$5)/12*Assumptions!$E$3</f>
        <v>33333.3333333333</v>
      </c>
      <c r="BI47" s="23" t="n">
        <f aca="false">INDEX(Assumptions!$B$38:$F$38,BI$5)/12*Assumptions!$E$3</f>
        <v>33333.3333333333</v>
      </c>
      <c r="BJ47" s="23" t="n">
        <f aca="false">INDEX(Assumptions!$B$38:$F$38,BJ$5)/12*Assumptions!$E$3</f>
        <v>33333.3333333333</v>
      </c>
    </row>
    <row r="48" customFormat="false" ht="15" hidden="false" customHeight="false" outlineLevel="0" collapsed="false">
      <c r="A48" s="6" t="s">
        <v>208</v>
      </c>
      <c r="B48" s="16" t="s">
        <v>194</v>
      </c>
      <c r="C48" s="23" t="n">
        <f aca="false">INDEX(Assumptions!$B$39:$F$39,C$5)/12*Assumptions!$E$3</f>
        <v>11666.6666666667</v>
      </c>
      <c r="D48" s="23" t="n">
        <f aca="false">INDEX(Assumptions!$B$39:$F$39,D$5)/12*Assumptions!$E$3</f>
        <v>11666.6666666667</v>
      </c>
      <c r="E48" s="23" t="n">
        <f aca="false">INDEX(Assumptions!$B$39:$F$39,E$5)/12*Assumptions!$E$3</f>
        <v>11666.6666666667</v>
      </c>
      <c r="F48" s="23" t="n">
        <f aca="false">INDEX(Assumptions!$B$39:$F$39,F$5)/12*Assumptions!$E$3</f>
        <v>11666.6666666667</v>
      </c>
      <c r="G48" s="23" t="n">
        <f aca="false">INDEX(Assumptions!$B$39:$F$39,G$5)/12*Assumptions!$E$3</f>
        <v>11666.6666666667</v>
      </c>
      <c r="H48" s="23" t="n">
        <f aca="false">INDEX(Assumptions!$B$39:$F$39,H$5)/12*Assumptions!$E$3</f>
        <v>11666.6666666667</v>
      </c>
      <c r="I48" s="23" t="n">
        <f aca="false">INDEX(Assumptions!$B$39:$F$39,I$5)/12*Assumptions!$E$3</f>
        <v>11666.6666666667</v>
      </c>
      <c r="J48" s="23" t="n">
        <f aca="false">INDEX(Assumptions!$B$39:$F$39,J$5)/12*Assumptions!$E$3</f>
        <v>11666.6666666667</v>
      </c>
      <c r="K48" s="23" t="n">
        <f aca="false">INDEX(Assumptions!$B$39:$F$39,K$5)/12*Assumptions!$E$3</f>
        <v>11666.6666666667</v>
      </c>
      <c r="L48" s="23" t="n">
        <f aca="false">INDEX(Assumptions!$B$39:$F$39,L$5)/12*Assumptions!$E$3</f>
        <v>11666.6666666667</v>
      </c>
      <c r="M48" s="23" t="n">
        <f aca="false">INDEX(Assumptions!$B$39:$F$39,M$5)/12*Assumptions!$E$3</f>
        <v>11666.6666666667</v>
      </c>
      <c r="N48" s="23" t="n">
        <f aca="false">INDEX(Assumptions!$B$39:$F$39,N$5)/12*Assumptions!$E$3</f>
        <v>11666.6666666667</v>
      </c>
      <c r="O48" s="23" t="n">
        <f aca="false">INDEX(Assumptions!$B$39:$F$39,O$5)/12*Assumptions!$E$3</f>
        <v>18333.3333333333</v>
      </c>
      <c r="P48" s="23" t="n">
        <f aca="false">INDEX(Assumptions!$B$39:$F$39,P$5)/12*Assumptions!$E$3</f>
        <v>18333.3333333333</v>
      </c>
      <c r="Q48" s="23" t="n">
        <f aca="false">INDEX(Assumptions!$B$39:$F$39,Q$5)/12*Assumptions!$E$3</f>
        <v>18333.3333333333</v>
      </c>
      <c r="R48" s="23" t="n">
        <f aca="false">INDEX(Assumptions!$B$39:$F$39,R$5)/12*Assumptions!$E$3</f>
        <v>18333.3333333333</v>
      </c>
      <c r="S48" s="23" t="n">
        <f aca="false">INDEX(Assumptions!$B$39:$F$39,S$5)/12*Assumptions!$E$3</f>
        <v>18333.3333333333</v>
      </c>
      <c r="T48" s="23" t="n">
        <f aca="false">INDEX(Assumptions!$B$39:$F$39,T$5)/12*Assumptions!$E$3</f>
        <v>18333.3333333333</v>
      </c>
      <c r="U48" s="23" t="n">
        <f aca="false">INDEX(Assumptions!$B$39:$F$39,U$5)/12*Assumptions!$E$3</f>
        <v>18333.3333333333</v>
      </c>
      <c r="V48" s="23" t="n">
        <f aca="false">INDEX(Assumptions!$B$39:$F$39,V$5)/12*Assumptions!$E$3</f>
        <v>18333.3333333333</v>
      </c>
      <c r="W48" s="23" t="n">
        <f aca="false">INDEX(Assumptions!$B$39:$F$39,W$5)/12*Assumptions!$E$3</f>
        <v>18333.3333333333</v>
      </c>
      <c r="X48" s="23" t="n">
        <f aca="false">INDEX(Assumptions!$B$39:$F$39,X$5)/12*Assumptions!$E$3</f>
        <v>18333.3333333333</v>
      </c>
      <c r="Y48" s="23" t="n">
        <f aca="false">INDEX(Assumptions!$B$39:$F$39,Y$5)/12*Assumptions!$E$3</f>
        <v>18333.3333333333</v>
      </c>
      <c r="Z48" s="23" t="n">
        <f aca="false">INDEX(Assumptions!$B$39:$F$39,Z$5)/12*Assumptions!$E$3</f>
        <v>18333.3333333333</v>
      </c>
      <c r="AA48" s="23" t="n">
        <f aca="false">INDEX(Assumptions!$B$39:$F$39,AA$5)/12*Assumptions!$E$3</f>
        <v>25000</v>
      </c>
      <c r="AB48" s="23" t="n">
        <f aca="false">INDEX(Assumptions!$B$39:$F$39,AB$5)/12*Assumptions!$E$3</f>
        <v>25000</v>
      </c>
      <c r="AC48" s="23" t="n">
        <f aca="false">INDEX(Assumptions!$B$39:$F$39,AC$5)/12*Assumptions!$E$3</f>
        <v>25000</v>
      </c>
      <c r="AD48" s="23" t="n">
        <f aca="false">INDEX(Assumptions!$B$39:$F$39,AD$5)/12*Assumptions!$E$3</f>
        <v>25000</v>
      </c>
      <c r="AE48" s="23" t="n">
        <f aca="false">INDEX(Assumptions!$B$39:$F$39,AE$5)/12*Assumptions!$E$3</f>
        <v>25000</v>
      </c>
      <c r="AF48" s="23" t="n">
        <f aca="false">INDEX(Assumptions!$B$39:$F$39,AF$5)/12*Assumptions!$E$3</f>
        <v>25000</v>
      </c>
      <c r="AG48" s="23" t="n">
        <f aca="false">INDEX(Assumptions!$B$39:$F$39,AG$5)/12*Assumptions!$E$3</f>
        <v>25000</v>
      </c>
      <c r="AH48" s="23" t="n">
        <f aca="false">INDEX(Assumptions!$B$39:$F$39,AH$5)/12*Assumptions!$E$3</f>
        <v>25000</v>
      </c>
      <c r="AI48" s="23" t="n">
        <f aca="false">INDEX(Assumptions!$B$39:$F$39,AI$5)/12*Assumptions!$E$3</f>
        <v>25000</v>
      </c>
      <c r="AJ48" s="23" t="n">
        <f aca="false">INDEX(Assumptions!$B$39:$F$39,AJ$5)/12*Assumptions!$E$3</f>
        <v>25000</v>
      </c>
      <c r="AK48" s="23" t="n">
        <f aca="false">INDEX(Assumptions!$B$39:$F$39,AK$5)/12*Assumptions!$E$3</f>
        <v>25000</v>
      </c>
      <c r="AL48" s="23" t="n">
        <f aca="false">INDEX(Assumptions!$B$39:$F$39,AL$5)/12*Assumptions!$E$3</f>
        <v>25000</v>
      </c>
      <c r="AM48" s="23" t="n">
        <f aca="false">INDEX(Assumptions!$B$39:$F$39,AM$5)/12*Assumptions!$E$3</f>
        <v>31666.6666666667</v>
      </c>
      <c r="AN48" s="23" t="n">
        <f aca="false">INDEX(Assumptions!$B$39:$F$39,AN$5)/12*Assumptions!$E$3</f>
        <v>31666.6666666667</v>
      </c>
      <c r="AO48" s="23" t="n">
        <f aca="false">INDEX(Assumptions!$B$39:$F$39,AO$5)/12*Assumptions!$E$3</f>
        <v>31666.6666666667</v>
      </c>
      <c r="AP48" s="23" t="n">
        <f aca="false">INDEX(Assumptions!$B$39:$F$39,AP$5)/12*Assumptions!$E$3</f>
        <v>31666.6666666667</v>
      </c>
      <c r="AQ48" s="23" t="n">
        <f aca="false">INDEX(Assumptions!$B$39:$F$39,AQ$5)/12*Assumptions!$E$3</f>
        <v>31666.6666666667</v>
      </c>
      <c r="AR48" s="23" t="n">
        <f aca="false">INDEX(Assumptions!$B$39:$F$39,AR$5)/12*Assumptions!$E$3</f>
        <v>31666.6666666667</v>
      </c>
      <c r="AS48" s="23" t="n">
        <f aca="false">INDEX(Assumptions!$B$39:$F$39,AS$5)/12*Assumptions!$E$3</f>
        <v>31666.6666666667</v>
      </c>
      <c r="AT48" s="23" t="n">
        <f aca="false">INDEX(Assumptions!$B$39:$F$39,AT$5)/12*Assumptions!$E$3</f>
        <v>31666.6666666667</v>
      </c>
      <c r="AU48" s="23" t="n">
        <f aca="false">INDEX(Assumptions!$B$39:$F$39,AU$5)/12*Assumptions!$E$3</f>
        <v>31666.6666666667</v>
      </c>
      <c r="AV48" s="23" t="n">
        <f aca="false">INDEX(Assumptions!$B$39:$F$39,AV$5)/12*Assumptions!$E$3</f>
        <v>31666.6666666667</v>
      </c>
      <c r="AW48" s="23" t="n">
        <f aca="false">INDEX(Assumptions!$B$39:$F$39,AW$5)/12*Assumptions!$E$3</f>
        <v>31666.6666666667</v>
      </c>
      <c r="AX48" s="23" t="n">
        <f aca="false">INDEX(Assumptions!$B$39:$F$39,AX$5)/12*Assumptions!$E$3</f>
        <v>31666.6666666667</v>
      </c>
      <c r="AY48" s="23" t="n">
        <f aca="false">INDEX(Assumptions!$B$39:$F$39,AY$5)/12*Assumptions!$E$3</f>
        <v>35000</v>
      </c>
      <c r="AZ48" s="23" t="n">
        <f aca="false">INDEX(Assumptions!$B$39:$F$39,AZ$5)/12*Assumptions!$E$3</f>
        <v>35000</v>
      </c>
      <c r="BA48" s="23" t="n">
        <f aca="false">INDEX(Assumptions!$B$39:$F$39,BA$5)/12*Assumptions!$E$3</f>
        <v>35000</v>
      </c>
      <c r="BB48" s="23" t="n">
        <f aca="false">INDEX(Assumptions!$B$39:$F$39,BB$5)/12*Assumptions!$E$3</f>
        <v>35000</v>
      </c>
      <c r="BC48" s="23" t="n">
        <f aca="false">INDEX(Assumptions!$B$39:$F$39,BC$5)/12*Assumptions!$E$3</f>
        <v>35000</v>
      </c>
      <c r="BD48" s="23" t="n">
        <f aca="false">INDEX(Assumptions!$B$39:$F$39,BD$5)/12*Assumptions!$E$3</f>
        <v>35000</v>
      </c>
      <c r="BE48" s="23" t="n">
        <f aca="false">INDEX(Assumptions!$B$39:$F$39,BE$5)/12*Assumptions!$E$3</f>
        <v>35000</v>
      </c>
      <c r="BF48" s="23" t="n">
        <f aca="false">INDEX(Assumptions!$B$39:$F$39,BF$5)/12*Assumptions!$E$3</f>
        <v>35000</v>
      </c>
      <c r="BG48" s="23" t="n">
        <f aca="false">INDEX(Assumptions!$B$39:$F$39,BG$5)/12*Assumptions!$E$3</f>
        <v>35000</v>
      </c>
      <c r="BH48" s="23" t="n">
        <f aca="false">INDEX(Assumptions!$B$39:$F$39,BH$5)/12*Assumptions!$E$3</f>
        <v>35000</v>
      </c>
      <c r="BI48" s="23" t="n">
        <f aca="false">INDEX(Assumptions!$B$39:$F$39,BI$5)/12*Assumptions!$E$3</f>
        <v>35000</v>
      </c>
      <c r="BJ48" s="23" t="n">
        <f aca="false">INDEX(Assumptions!$B$39:$F$39,BJ$5)/12*Assumptions!$E$3</f>
        <v>35000</v>
      </c>
    </row>
    <row r="49" customFormat="false" ht="15" hidden="false" customHeight="false" outlineLevel="0" collapsed="false">
      <c r="A49" s="6" t="s">
        <v>209</v>
      </c>
      <c r="B49" s="16" t="s">
        <v>194</v>
      </c>
      <c r="C49" s="23" t="n">
        <f aca="false">INDEX(Assumptions!$B$40:$F$40,C$5)/12*Assumptions!$E$3</f>
        <v>4166.66666666667</v>
      </c>
      <c r="D49" s="23" t="n">
        <f aca="false">INDEX(Assumptions!$B$40:$F$40,D$5)/12*Assumptions!$E$3</f>
        <v>4166.66666666667</v>
      </c>
      <c r="E49" s="23" t="n">
        <f aca="false">INDEX(Assumptions!$B$40:$F$40,E$5)/12*Assumptions!$E$3</f>
        <v>4166.66666666667</v>
      </c>
      <c r="F49" s="23" t="n">
        <f aca="false">INDEX(Assumptions!$B$40:$F$40,F$5)/12*Assumptions!$E$3</f>
        <v>4166.66666666667</v>
      </c>
      <c r="G49" s="23" t="n">
        <f aca="false">INDEX(Assumptions!$B$40:$F$40,G$5)/12*Assumptions!$E$3</f>
        <v>4166.66666666667</v>
      </c>
      <c r="H49" s="23" t="n">
        <f aca="false">INDEX(Assumptions!$B$40:$F$40,H$5)/12*Assumptions!$E$3</f>
        <v>4166.66666666667</v>
      </c>
      <c r="I49" s="23" t="n">
        <f aca="false">INDEX(Assumptions!$B$40:$F$40,I$5)/12*Assumptions!$E$3</f>
        <v>4166.66666666667</v>
      </c>
      <c r="J49" s="23" t="n">
        <f aca="false">INDEX(Assumptions!$B$40:$F$40,J$5)/12*Assumptions!$E$3</f>
        <v>4166.66666666667</v>
      </c>
      <c r="K49" s="23" t="n">
        <f aca="false">INDEX(Assumptions!$B$40:$F$40,K$5)/12*Assumptions!$E$3</f>
        <v>4166.66666666667</v>
      </c>
      <c r="L49" s="23" t="n">
        <f aca="false">INDEX(Assumptions!$B$40:$F$40,L$5)/12*Assumptions!$E$3</f>
        <v>4166.66666666667</v>
      </c>
      <c r="M49" s="23" t="n">
        <f aca="false">INDEX(Assumptions!$B$40:$F$40,M$5)/12*Assumptions!$E$3</f>
        <v>4166.66666666667</v>
      </c>
      <c r="N49" s="23" t="n">
        <f aca="false">INDEX(Assumptions!$B$40:$F$40,N$5)/12*Assumptions!$E$3</f>
        <v>4166.66666666667</v>
      </c>
      <c r="O49" s="23" t="n">
        <f aca="false">INDEX(Assumptions!$B$40:$F$40,O$5)/12*Assumptions!$E$3</f>
        <v>18333.3333333333</v>
      </c>
      <c r="P49" s="23" t="n">
        <f aca="false">INDEX(Assumptions!$B$40:$F$40,P$5)/12*Assumptions!$E$3</f>
        <v>18333.3333333333</v>
      </c>
      <c r="Q49" s="23" t="n">
        <f aca="false">INDEX(Assumptions!$B$40:$F$40,Q$5)/12*Assumptions!$E$3</f>
        <v>18333.3333333333</v>
      </c>
      <c r="R49" s="23" t="n">
        <f aca="false">INDEX(Assumptions!$B$40:$F$40,R$5)/12*Assumptions!$E$3</f>
        <v>18333.3333333333</v>
      </c>
      <c r="S49" s="23" t="n">
        <f aca="false">INDEX(Assumptions!$B$40:$F$40,S$5)/12*Assumptions!$E$3</f>
        <v>18333.3333333333</v>
      </c>
      <c r="T49" s="23" t="n">
        <f aca="false">INDEX(Assumptions!$B$40:$F$40,T$5)/12*Assumptions!$E$3</f>
        <v>18333.3333333333</v>
      </c>
      <c r="U49" s="23" t="n">
        <f aca="false">INDEX(Assumptions!$B$40:$F$40,U$5)/12*Assumptions!$E$3</f>
        <v>18333.3333333333</v>
      </c>
      <c r="V49" s="23" t="n">
        <f aca="false">INDEX(Assumptions!$B$40:$F$40,V$5)/12*Assumptions!$E$3</f>
        <v>18333.3333333333</v>
      </c>
      <c r="W49" s="23" t="n">
        <f aca="false">INDEX(Assumptions!$B$40:$F$40,W$5)/12*Assumptions!$E$3</f>
        <v>18333.3333333333</v>
      </c>
      <c r="X49" s="23" t="n">
        <f aca="false">INDEX(Assumptions!$B$40:$F$40,X$5)/12*Assumptions!$E$3</f>
        <v>18333.3333333333</v>
      </c>
      <c r="Y49" s="23" t="n">
        <f aca="false">INDEX(Assumptions!$B$40:$F$40,Y$5)/12*Assumptions!$E$3</f>
        <v>18333.3333333333</v>
      </c>
      <c r="Z49" s="23" t="n">
        <f aca="false">INDEX(Assumptions!$B$40:$F$40,Z$5)/12*Assumptions!$E$3</f>
        <v>18333.3333333333</v>
      </c>
      <c r="AA49" s="23" t="n">
        <f aca="false">INDEX(Assumptions!$B$40:$F$40,AA$5)/12*Assumptions!$E$3</f>
        <v>26666.6666666667</v>
      </c>
      <c r="AB49" s="23" t="n">
        <f aca="false">INDEX(Assumptions!$B$40:$F$40,AB$5)/12*Assumptions!$E$3</f>
        <v>26666.6666666667</v>
      </c>
      <c r="AC49" s="23" t="n">
        <f aca="false">INDEX(Assumptions!$B$40:$F$40,AC$5)/12*Assumptions!$E$3</f>
        <v>26666.6666666667</v>
      </c>
      <c r="AD49" s="23" t="n">
        <f aca="false">INDEX(Assumptions!$B$40:$F$40,AD$5)/12*Assumptions!$E$3</f>
        <v>26666.6666666667</v>
      </c>
      <c r="AE49" s="23" t="n">
        <f aca="false">INDEX(Assumptions!$B$40:$F$40,AE$5)/12*Assumptions!$E$3</f>
        <v>26666.6666666667</v>
      </c>
      <c r="AF49" s="23" t="n">
        <f aca="false">INDEX(Assumptions!$B$40:$F$40,AF$5)/12*Assumptions!$E$3</f>
        <v>26666.6666666667</v>
      </c>
      <c r="AG49" s="23" t="n">
        <f aca="false">INDEX(Assumptions!$B$40:$F$40,AG$5)/12*Assumptions!$E$3</f>
        <v>26666.6666666667</v>
      </c>
      <c r="AH49" s="23" t="n">
        <f aca="false">INDEX(Assumptions!$B$40:$F$40,AH$5)/12*Assumptions!$E$3</f>
        <v>26666.6666666667</v>
      </c>
      <c r="AI49" s="23" t="n">
        <f aca="false">INDEX(Assumptions!$B$40:$F$40,AI$5)/12*Assumptions!$E$3</f>
        <v>26666.6666666667</v>
      </c>
      <c r="AJ49" s="23" t="n">
        <f aca="false">INDEX(Assumptions!$B$40:$F$40,AJ$5)/12*Assumptions!$E$3</f>
        <v>26666.6666666667</v>
      </c>
      <c r="AK49" s="23" t="n">
        <f aca="false">INDEX(Assumptions!$B$40:$F$40,AK$5)/12*Assumptions!$E$3</f>
        <v>26666.6666666667</v>
      </c>
      <c r="AL49" s="23" t="n">
        <f aca="false">INDEX(Assumptions!$B$40:$F$40,AL$5)/12*Assumptions!$E$3</f>
        <v>26666.6666666667</v>
      </c>
      <c r="AM49" s="23" t="n">
        <f aca="false">INDEX(Assumptions!$B$40:$F$40,AM$5)/12*Assumptions!$E$3</f>
        <v>28333.3333333333</v>
      </c>
      <c r="AN49" s="23" t="n">
        <f aca="false">INDEX(Assumptions!$B$40:$F$40,AN$5)/12*Assumptions!$E$3</f>
        <v>28333.3333333333</v>
      </c>
      <c r="AO49" s="23" t="n">
        <f aca="false">INDEX(Assumptions!$B$40:$F$40,AO$5)/12*Assumptions!$E$3</f>
        <v>28333.3333333333</v>
      </c>
      <c r="AP49" s="23" t="n">
        <f aca="false">INDEX(Assumptions!$B$40:$F$40,AP$5)/12*Assumptions!$E$3</f>
        <v>28333.3333333333</v>
      </c>
      <c r="AQ49" s="23" t="n">
        <f aca="false">INDEX(Assumptions!$B$40:$F$40,AQ$5)/12*Assumptions!$E$3</f>
        <v>28333.3333333333</v>
      </c>
      <c r="AR49" s="23" t="n">
        <f aca="false">INDEX(Assumptions!$B$40:$F$40,AR$5)/12*Assumptions!$E$3</f>
        <v>28333.3333333333</v>
      </c>
      <c r="AS49" s="23" t="n">
        <f aca="false">INDEX(Assumptions!$B$40:$F$40,AS$5)/12*Assumptions!$E$3</f>
        <v>28333.3333333333</v>
      </c>
      <c r="AT49" s="23" t="n">
        <f aca="false">INDEX(Assumptions!$B$40:$F$40,AT$5)/12*Assumptions!$E$3</f>
        <v>28333.3333333333</v>
      </c>
      <c r="AU49" s="23" t="n">
        <f aca="false">INDEX(Assumptions!$B$40:$F$40,AU$5)/12*Assumptions!$E$3</f>
        <v>28333.3333333333</v>
      </c>
      <c r="AV49" s="23" t="n">
        <f aca="false">INDEX(Assumptions!$B$40:$F$40,AV$5)/12*Assumptions!$E$3</f>
        <v>28333.3333333333</v>
      </c>
      <c r="AW49" s="23" t="n">
        <f aca="false">INDEX(Assumptions!$B$40:$F$40,AW$5)/12*Assumptions!$E$3</f>
        <v>28333.3333333333</v>
      </c>
      <c r="AX49" s="23" t="n">
        <f aca="false">INDEX(Assumptions!$B$40:$F$40,AX$5)/12*Assumptions!$E$3</f>
        <v>28333.3333333333</v>
      </c>
      <c r="AY49" s="23" t="n">
        <f aca="false">INDEX(Assumptions!$B$40:$F$40,AY$5)/12*Assumptions!$E$3</f>
        <v>30000</v>
      </c>
      <c r="AZ49" s="23" t="n">
        <f aca="false">INDEX(Assumptions!$B$40:$F$40,AZ$5)/12*Assumptions!$E$3</f>
        <v>30000</v>
      </c>
      <c r="BA49" s="23" t="n">
        <f aca="false">INDEX(Assumptions!$B$40:$F$40,BA$5)/12*Assumptions!$E$3</f>
        <v>30000</v>
      </c>
      <c r="BB49" s="23" t="n">
        <f aca="false">INDEX(Assumptions!$B$40:$F$40,BB$5)/12*Assumptions!$E$3</f>
        <v>30000</v>
      </c>
      <c r="BC49" s="23" t="n">
        <f aca="false">INDEX(Assumptions!$B$40:$F$40,BC$5)/12*Assumptions!$E$3</f>
        <v>30000</v>
      </c>
      <c r="BD49" s="23" t="n">
        <f aca="false">INDEX(Assumptions!$B$40:$F$40,BD$5)/12*Assumptions!$E$3</f>
        <v>30000</v>
      </c>
      <c r="BE49" s="23" t="n">
        <f aca="false">INDEX(Assumptions!$B$40:$F$40,BE$5)/12*Assumptions!$E$3</f>
        <v>30000</v>
      </c>
      <c r="BF49" s="23" t="n">
        <f aca="false">INDEX(Assumptions!$B$40:$F$40,BF$5)/12*Assumptions!$E$3</f>
        <v>30000</v>
      </c>
      <c r="BG49" s="23" t="n">
        <f aca="false">INDEX(Assumptions!$B$40:$F$40,BG$5)/12*Assumptions!$E$3</f>
        <v>30000</v>
      </c>
      <c r="BH49" s="23" t="n">
        <f aca="false">INDEX(Assumptions!$B$40:$F$40,BH$5)/12*Assumptions!$E$3</f>
        <v>30000</v>
      </c>
      <c r="BI49" s="23" t="n">
        <f aca="false">INDEX(Assumptions!$B$40:$F$40,BI$5)/12*Assumptions!$E$3</f>
        <v>30000</v>
      </c>
      <c r="BJ49" s="23" t="n">
        <f aca="false">INDEX(Assumptions!$B$40:$F$40,BJ$5)/12*Assumptions!$E$3</f>
        <v>30000</v>
      </c>
    </row>
    <row r="50" customFormat="false" ht="15" hidden="false" customHeight="false" outlineLevel="0" collapsed="false">
      <c r="A50" s="6" t="s">
        <v>210</v>
      </c>
      <c r="B50" s="16" t="s">
        <v>194</v>
      </c>
      <c r="C50" s="23" t="n">
        <f aca="false">INDEX(Assumptions!$B$41:$F$41,C$5)/12*Assumptions!$E$3</f>
        <v>6666.66666666667</v>
      </c>
      <c r="D50" s="23" t="n">
        <f aca="false">INDEX(Assumptions!$B$41:$F$41,D$5)/12*Assumptions!$E$3</f>
        <v>6666.66666666667</v>
      </c>
      <c r="E50" s="23" t="n">
        <f aca="false">INDEX(Assumptions!$B$41:$F$41,E$5)/12*Assumptions!$E$3</f>
        <v>6666.66666666667</v>
      </c>
      <c r="F50" s="23" t="n">
        <f aca="false">INDEX(Assumptions!$B$41:$F$41,F$5)/12*Assumptions!$E$3</f>
        <v>6666.66666666667</v>
      </c>
      <c r="G50" s="23" t="n">
        <f aca="false">INDEX(Assumptions!$B$41:$F$41,G$5)/12*Assumptions!$E$3</f>
        <v>6666.66666666667</v>
      </c>
      <c r="H50" s="23" t="n">
        <f aca="false">INDEX(Assumptions!$B$41:$F$41,H$5)/12*Assumptions!$E$3</f>
        <v>6666.66666666667</v>
      </c>
      <c r="I50" s="23" t="n">
        <f aca="false">INDEX(Assumptions!$B$41:$F$41,I$5)/12*Assumptions!$E$3</f>
        <v>6666.66666666667</v>
      </c>
      <c r="J50" s="23" t="n">
        <f aca="false">INDEX(Assumptions!$B$41:$F$41,J$5)/12*Assumptions!$E$3</f>
        <v>6666.66666666667</v>
      </c>
      <c r="K50" s="23" t="n">
        <f aca="false">INDEX(Assumptions!$B$41:$F$41,K$5)/12*Assumptions!$E$3</f>
        <v>6666.66666666667</v>
      </c>
      <c r="L50" s="23" t="n">
        <f aca="false">INDEX(Assumptions!$B$41:$F$41,L$5)/12*Assumptions!$E$3</f>
        <v>6666.66666666667</v>
      </c>
      <c r="M50" s="23" t="n">
        <f aca="false">INDEX(Assumptions!$B$41:$F$41,M$5)/12*Assumptions!$E$3</f>
        <v>6666.66666666667</v>
      </c>
      <c r="N50" s="23" t="n">
        <f aca="false">INDEX(Assumptions!$B$41:$F$41,N$5)/12*Assumptions!$E$3</f>
        <v>6666.66666666667</v>
      </c>
      <c r="O50" s="23" t="n">
        <f aca="false">INDEX(Assumptions!$B$41:$F$41,O$5)/12*Assumptions!$E$3</f>
        <v>12500</v>
      </c>
      <c r="P50" s="23" t="n">
        <f aca="false">INDEX(Assumptions!$B$41:$F$41,P$5)/12*Assumptions!$E$3</f>
        <v>12500</v>
      </c>
      <c r="Q50" s="23" t="n">
        <f aca="false">INDEX(Assumptions!$B$41:$F$41,Q$5)/12*Assumptions!$E$3</f>
        <v>12500</v>
      </c>
      <c r="R50" s="23" t="n">
        <f aca="false">INDEX(Assumptions!$B$41:$F$41,R$5)/12*Assumptions!$E$3</f>
        <v>12500</v>
      </c>
      <c r="S50" s="23" t="n">
        <f aca="false">INDEX(Assumptions!$B$41:$F$41,S$5)/12*Assumptions!$E$3</f>
        <v>12500</v>
      </c>
      <c r="T50" s="23" t="n">
        <f aca="false">INDEX(Assumptions!$B$41:$F$41,T$5)/12*Assumptions!$E$3</f>
        <v>12500</v>
      </c>
      <c r="U50" s="23" t="n">
        <f aca="false">INDEX(Assumptions!$B$41:$F$41,U$5)/12*Assumptions!$E$3</f>
        <v>12500</v>
      </c>
      <c r="V50" s="23" t="n">
        <f aca="false">INDEX(Assumptions!$B$41:$F$41,V$5)/12*Assumptions!$E$3</f>
        <v>12500</v>
      </c>
      <c r="W50" s="23" t="n">
        <f aca="false">INDEX(Assumptions!$B$41:$F$41,W$5)/12*Assumptions!$E$3</f>
        <v>12500</v>
      </c>
      <c r="X50" s="23" t="n">
        <f aca="false">INDEX(Assumptions!$B$41:$F$41,X$5)/12*Assumptions!$E$3</f>
        <v>12500</v>
      </c>
      <c r="Y50" s="23" t="n">
        <f aca="false">INDEX(Assumptions!$B$41:$F$41,Y$5)/12*Assumptions!$E$3</f>
        <v>12500</v>
      </c>
      <c r="Z50" s="23" t="n">
        <f aca="false">INDEX(Assumptions!$B$41:$F$41,Z$5)/12*Assumptions!$E$3</f>
        <v>12500</v>
      </c>
      <c r="AA50" s="23" t="n">
        <f aca="false">INDEX(Assumptions!$B$41:$F$41,AA$5)/12*Assumptions!$E$3</f>
        <v>16666.6666666667</v>
      </c>
      <c r="AB50" s="23" t="n">
        <f aca="false">INDEX(Assumptions!$B$41:$F$41,AB$5)/12*Assumptions!$E$3</f>
        <v>16666.6666666667</v>
      </c>
      <c r="AC50" s="23" t="n">
        <f aca="false">INDEX(Assumptions!$B$41:$F$41,AC$5)/12*Assumptions!$E$3</f>
        <v>16666.6666666667</v>
      </c>
      <c r="AD50" s="23" t="n">
        <f aca="false">INDEX(Assumptions!$B$41:$F$41,AD$5)/12*Assumptions!$E$3</f>
        <v>16666.6666666667</v>
      </c>
      <c r="AE50" s="23" t="n">
        <f aca="false">INDEX(Assumptions!$B$41:$F$41,AE$5)/12*Assumptions!$E$3</f>
        <v>16666.6666666667</v>
      </c>
      <c r="AF50" s="23" t="n">
        <f aca="false">INDEX(Assumptions!$B$41:$F$41,AF$5)/12*Assumptions!$E$3</f>
        <v>16666.6666666667</v>
      </c>
      <c r="AG50" s="23" t="n">
        <f aca="false">INDEX(Assumptions!$B$41:$F$41,AG$5)/12*Assumptions!$E$3</f>
        <v>16666.6666666667</v>
      </c>
      <c r="AH50" s="23" t="n">
        <f aca="false">INDEX(Assumptions!$B$41:$F$41,AH$5)/12*Assumptions!$E$3</f>
        <v>16666.6666666667</v>
      </c>
      <c r="AI50" s="23" t="n">
        <f aca="false">INDEX(Assumptions!$B$41:$F$41,AI$5)/12*Assumptions!$E$3</f>
        <v>16666.6666666667</v>
      </c>
      <c r="AJ50" s="23" t="n">
        <f aca="false">INDEX(Assumptions!$B$41:$F$41,AJ$5)/12*Assumptions!$E$3</f>
        <v>16666.6666666667</v>
      </c>
      <c r="AK50" s="23" t="n">
        <f aca="false">INDEX(Assumptions!$B$41:$F$41,AK$5)/12*Assumptions!$E$3</f>
        <v>16666.6666666667</v>
      </c>
      <c r="AL50" s="23" t="n">
        <f aca="false">INDEX(Assumptions!$B$41:$F$41,AL$5)/12*Assumptions!$E$3</f>
        <v>16666.6666666667</v>
      </c>
      <c r="AM50" s="23" t="n">
        <f aca="false">INDEX(Assumptions!$B$41:$F$41,AM$5)/12*Assumptions!$E$3</f>
        <v>20000</v>
      </c>
      <c r="AN50" s="23" t="n">
        <f aca="false">INDEX(Assumptions!$B$41:$F$41,AN$5)/12*Assumptions!$E$3</f>
        <v>20000</v>
      </c>
      <c r="AO50" s="23" t="n">
        <f aca="false">INDEX(Assumptions!$B$41:$F$41,AO$5)/12*Assumptions!$E$3</f>
        <v>20000</v>
      </c>
      <c r="AP50" s="23" t="n">
        <f aca="false">INDEX(Assumptions!$B$41:$F$41,AP$5)/12*Assumptions!$E$3</f>
        <v>20000</v>
      </c>
      <c r="AQ50" s="23" t="n">
        <f aca="false">INDEX(Assumptions!$B$41:$F$41,AQ$5)/12*Assumptions!$E$3</f>
        <v>20000</v>
      </c>
      <c r="AR50" s="23" t="n">
        <f aca="false">INDEX(Assumptions!$B$41:$F$41,AR$5)/12*Assumptions!$E$3</f>
        <v>20000</v>
      </c>
      <c r="AS50" s="23" t="n">
        <f aca="false">INDEX(Assumptions!$B$41:$F$41,AS$5)/12*Assumptions!$E$3</f>
        <v>20000</v>
      </c>
      <c r="AT50" s="23" t="n">
        <f aca="false">INDEX(Assumptions!$B$41:$F$41,AT$5)/12*Assumptions!$E$3</f>
        <v>20000</v>
      </c>
      <c r="AU50" s="23" t="n">
        <f aca="false">INDEX(Assumptions!$B$41:$F$41,AU$5)/12*Assumptions!$E$3</f>
        <v>20000</v>
      </c>
      <c r="AV50" s="23" t="n">
        <f aca="false">INDEX(Assumptions!$B$41:$F$41,AV$5)/12*Assumptions!$E$3</f>
        <v>20000</v>
      </c>
      <c r="AW50" s="23" t="n">
        <f aca="false">INDEX(Assumptions!$B$41:$F$41,AW$5)/12*Assumptions!$E$3</f>
        <v>20000</v>
      </c>
      <c r="AX50" s="23" t="n">
        <f aca="false">INDEX(Assumptions!$B$41:$F$41,AX$5)/12*Assumptions!$E$3</f>
        <v>20000</v>
      </c>
      <c r="AY50" s="23" t="n">
        <f aca="false">INDEX(Assumptions!$B$41:$F$41,AY$5)/12*Assumptions!$E$3</f>
        <v>21666.6666666667</v>
      </c>
      <c r="AZ50" s="23" t="n">
        <f aca="false">INDEX(Assumptions!$B$41:$F$41,AZ$5)/12*Assumptions!$E$3</f>
        <v>21666.6666666667</v>
      </c>
      <c r="BA50" s="23" t="n">
        <f aca="false">INDEX(Assumptions!$B$41:$F$41,BA$5)/12*Assumptions!$E$3</f>
        <v>21666.6666666667</v>
      </c>
      <c r="BB50" s="23" t="n">
        <f aca="false">INDEX(Assumptions!$B$41:$F$41,BB$5)/12*Assumptions!$E$3</f>
        <v>21666.6666666667</v>
      </c>
      <c r="BC50" s="23" t="n">
        <f aca="false">INDEX(Assumptions!$B$41:$F$41,BC$5)/12*Assumptions!$E$3</f>
        <v>21666.6666666667</v>
      </c>
      <c r="BD50" s="23" t="n">
        <f aca="false">INDEX(Assumptions!$B$41:$F$41,BD$5)/12*Assumptions!$E$3</f>
        <v>21666.6666666667</v>
      </c>
      <c r="BE50" s="23" t="n">
        <f aca="false">INDEX(Assumptions!$B$41:$F$41,BE$5)/12*Assumptions!$E$3</f>
        <v>21666.6666666667</v>
      </c>
      <c r="BF50" s="23" t="n">
        <f aca="false">INDEX(Assumptions!$B$41:$F$41,BF$5)/12*Assumptions!$E$3</f>
        <v>21666.6666666667</v>
      </c>
      <c r="BG50" s="23" t="n">
        <f aca="false">INDEX(Assumptions!$B$41:$F$41,BG$5)/12*Assumptions!$E$3</f>
        <v>21666.6666666667</v>
      </c>
      <c r="BH50" s="23" t="n">
        <f aca="false">INDEX(Assumptions!$B$41:$F$41,BH$5)/12*Assumptions!$E$3</f>
        <v>21666.6666666667</v>
      </c>
      <c r="BI50" s="23" t="n">
        <f aca="false">INDEX(Assumptions!$B$41:$F$41,BI$5)/12*Assumptions!$E$3</f>
        <v>21666.6666666667</v>
      </c>
      <c r="BJ50" s="23" t="n">
        <f aca="false">INDEX(Assumptions!$B$41:$F$41,BJ$5)/12*Assumptions!$E$3</f>
        <v>21666.6666666667</v>
      </c>
    </row>
    <row r="51" customFormat="false" ht="15" hidden="false" customHeight="false" outlineLevel="0" collapsed="false">
      <c r="A51" s="4" t="s">
        <v>211</v>
      </c>
      <c r="B51" s="16" t="s">
        <v>194</v>
      </c>
      <c r="C51" s="19" t="n">
        <f aca="false">SUM(C45:C50)</f>
        <v>111291.666666667</v>
      </c>
      <c r="D51" s="19" t="n">
        <f aca="false">SUM(D45:D50)</f>
        <v>111291.666666667</v>
      </c>
      <c r="E51" s="19" t="n">
        <f aca="false">SUM(E45:E50)</f>
        <v>111291.666666667</v>
      </c>
      <c r="F51" s="19" t="n">
        <f aca="false">SUM(F45:F50)</f>
        <v>111291.666666667</v>
      </c>
      <c r="G51" s="19" t="n">
        <f aca="false">SUM(G45:G50)</f>
        <v>111291.666666667</v>
      </c>
      <c r="H51" s="19" t="n">
        <f aca="false">SUM(H45:H50)</f>
        <v>111291.666666667</v>
      </c>
      <c r="I51" s="19" t="n">
        <f aca="false">SUM(I45:I50)</f>
        <v>111291.666666667</v>
      </c>
      <c r="J51" s="19" t="n">
        <f aca="false">SUM(J45:J50)</f>
        <v>111291.666666667</v>
      </c>
      <c r="K51" s="19" t="n">
        <f aca="false">SUM(K45:K50)</f>
        <v>111291.666666667</v>
      </c>
      <c r="L51" s="19" t="n">
        <f aca="false">SUM(L45:L50)</f>
        <v>111291.666666667</v>
      </c>
      <c r="M51" s="19" t="n">
        <f aca="false">SUM(M45:M50)</f>
        <v>111291.666666667</v>
      </c>
      <c r="N51" s="19" t="n">
        <f aca="false">SUM(N45:N50)</f>
        <v>111291.666666667</v>
      </c>
      <c r="O51" s="19" t="n">
        <f aca="false">SUM(O45:O50)</f>
        <v>188208.333333333</v>
      </c>
      <c r="P51" s="19" t="n">
        <f aca="false">SUM(P45:P50)</f>
        <v>188208.333333333</v>
      </c>
      <c r="Q51" s="19" t="n">
        <f aca="false">SUM(Q45:Q50)</f>
        <v>188208.333333333</v>
      </c>
      <c r="R51" s="19" t="n">
        <f aca="false">SUM(R45:R50)</f>
        <v>188208.333333333</v>
      </c>
      <c r="S51" s="19" t="n">
        <f aca="false">SUM(S45:S50)</f>
        <v>188208.333333333</v>
      </c>
      <c r="T51" s="19" t="n">
        <f aca="false">SUM(T45:T50)</f>
        <v>188208.333333333</v>
      </c>
      <c r="U51" s="19" t="n">
        <f aca="false">SUM(U45:U50)</f>
        <v>188208.333333333</v>
      </c>
      <c r="V51" s="19" t="n">
        <f aca="false">SUM(V45:V50)</f>
        <v>188208.333333333</v>
      </c>
      <c r="W51" s="19" t="n">
        <f aca="false">SUM(W45:W50)</f>
        <v>188208.333333333</v>
      </c>
      <c r="X51" s="19" t="n">
        <f aca="false">SUM(X45:X50)</f>
        <v>188208.333333333</v>
      </c>
      <c r="Y51" s="19" t="n">
        <f aca="false">SUM(Y45:Y50)</f>
        <v>188208.333333333</v>
      </c>
      <c r="Z51" s="19" t="n">
        <f aca="false">SUM(Z45:Z50)</f>
        <v>188208.333333333</v>
      </c>
      <c r="AA51" s="19" t="n">
        <f aca="false">SUM(AA45:AA50)</f>
        <v>253125</v>
      </c>
      <c r="AB51" s="19" t="n">
        <f aca="false">SUM(AB45:AB50)</f>
        <v>253125</v>
      </c>
      <c r="AC51" s="19" t="n">
        <f aca="false">SUM(AC45:AC50)</f>
        <v>253125</v>
      </c>
      <c r="AD51" s="19" t="n">
        <f aca="false">SUM(AD45:AD50)</f>
        <v>253125</v>
      </c>
      <c r="AE51" s="19" t="n">
        <f aca="false">SUM(AE45:AE50)</f>
        <v>253125</v>
      </c>
      <c r="AF51" s="19" t="n">
        <f aca="false">SUM(AF45:AF50)</f>
        <v>253125</v>
      </c>
      <c r="AG51" s="19" t="n">
        <f aca="false">SUM(AG45:AG50)</f>
        <v>253125</v>
      </c>
      <c r="AH51" s="19" t="n">
        <f aca="false">SUM(AH45:AH50)</f>
        <v>253125</v>
      </c>
      <c r="AI51" s="19" t="n">
        <f aca="false">SUM(AI45:AI50)</f>
        <v>253125</v>
      </c>
      <c r="AJ51" s="19" t="n">
        <f aca="false">SUM(AJ45:AJ50)</f>
        <v>253125</v>
      </c>
      <c r="AK51" s="19" t="n">
        <f aca="false">SUM(AK45:AK50)</f>
        <v>253125</v>
      </c>
      <c r="AL51" s="19" t="n">
        <f aca="false">SUM(AL45:AL50)</f>
        <v>253125</v>
      </c>
      <c r="AM51" s="19" t="n">
        <f aca="false">SUM(AM45:AM50)</f>
        <v>299375</v>
      </c>
      <c r="AN51" s="19" t="n">
        <f aca="false">SUM(AN45:AN50)</f>
        <v>299375</v>
      </c>
      <c r="AO51" s="19" t="n">
        <f aca="false">SUM(AO45:AO50)</f>
        <v>299375</v>
      </c>
      <c r="AP51" s="19" t="n">
        <f aca="false">SUM(AP45:AP50)</f>
        <v>299375</v>
      </c>
      <c r="AQ51" s="19" t="n">
        <f aca="false">SUM(AQ45:AQ50)</f>
        <v>299375</v>
      </c>
      <c r="AR51" s="19" t="n">
        <f aca="false">SUM(AR45:AR50)</f>
        <v>299375</v>
      </c>
      <c r="AS51" s="19" t="n">
        <f aca="false">SUM(AS45:AS50)</f>
        <v>299375</v>
      </c>
      <c r="AT51" s="19" t="n">
        <f aca="false">SUM(AT45:AT50)</f>
        <v>299375</v>
      </c>
      <c r="AU51" s="19" t="n">
        <f aca="false">SUM(AU45:AU50)</f>
        <v>299375</v>
      </c>
      <c r="AV51" s="19" t="n">
        <f aca="false">SUM(AV45:AV50)</f>
        <v>299375</v>
      </c>
      <c r="AW51" s="19" t="n">
        <f aca="false">SUM(AW45:AW50)</f>
        <v>299375</v>
      </c>
      <c r="AX51" s="19" t="n">
        <f aca="false">SUM(AX45:AX50)</f>
        <v>299375</v>
      </c>
      <c r="AY51" s="19" t="n">
        <f aca="false">SUM(AY45:AY50)</f>
        <v>323500</v>
      </c>
      <c r="AZ51" s="19" t="n">
        <f aca="false">SUM(AZ45:AZ50)</f>
        <v>323500</v>
      </c>
      <c r="BA51" s="19" t="n">
        <f aca="false">SUM(BA45:BA50)</f>
        <v>323500</v>
      </c>
      <c r="BB51" s="19" t="n">
        <f aca="false">SUM(BB45:BB50)</f>
        <v>323500</v>
      </c>
      <c r="BC51" s="19" t="n">
        <f aca="false">SUM(BC45:BC50)</f>
        <v>323500</v>
      </c>
      <c r="BD51" s="19" t="n">
        <f aca="false">SUM(BD45:BD50)</f>
        <v>323500</v>
      </c>
      <c r="BE51" s="19" t="n">
        <f aca="false">SUM(BE45:BE50)</f>
        <v>323500</v>
      </c>
      <c r="BF51" s="19" t="n">
        <f aca="false">SUM(BF45:BF50)</f>
        <v>323500</v>
      </c>
      <c r="BG51" s="19" t="n">
        <f aca="false">SUM(BG45:BG50)</f>
        <v>323500</v>
      </c>
      <c r="BH51" s="19" t="n">
        <f aca="false">SUM(BH45:BH50)</f>
        <v>323500</v>
      </c>
      <c r="BI51" s="19" t="n">
        <f aca="false">SUM(BI45:BI50)</f>
        <v>323500</v>
      </c>
      <c r="BJ51" s="19" t="n">
        <f aca="false">SUM(BJ45:BJ50)</f>
        <v>323500</v>
      </c>
    </row>
    <row r="53" customFormat="false" ht="15" hidden="false" customHeight="false" outlineLevel="0" collapsed="false">
      <c r="A53" s="4" t="s">
        <v>212</v>
      </c>
      <c r="B53" s="16" t="s">
        <v>194</v>
      </c>
      <c r="C53" s="19" t="n">
        <f aca="false">C42-C51</f>
        <v>-111291.666666667</v>
      </c>
      <c r="D53" s="19" t="n">
        <f aca="false">D42-D51</f>
        <v>-111291.666666667</v>
      </c>
      <c r="E53" s="19" t="n">
        <f aca="false">E42-E51</f>
        <v>-111291.666666667</v>
      </c>
      <c r="F53" s="19" t="n">
        <f aca="false">F42-F51</f>
        <v>-111291.666666667</v>
      </c>
      <c r="G53" s="19" t="n">
        <f aca="false">G42-G51</f>
        <v>-111291.666666667</v>
      </c>
      <c r="H53" s="19" t="n">
        <f aca="false">H42-H51</f>
        <v>-111291.666666667</v>
      </c>
      <c r="I53" s="19" t="n">
        <f aca="false">I42-I51</f>
        <v>-111291.666666667</v>
      </c>
      <c r="J53" s="19" t="n">
        <f aca="false">J42-J51</f>
        <v>-111291.666666667</v>
      </c>
      <c r="K53" s="19" t="n">
        <f aca="false">K42-K51</f>
        <v>-111291.666666667</v>
      </c>
      <c r="L53" s="19" t="n">
        <f aca="false">L42-L51</f>
        <v>-111291.666666667</v>
      </c>
      <c r="M53" s="19" t="n">
        <f aca="false">M42-M51</f>
        <v>-102538.129180285</v>
      </c>
      <c r="N53" s="19" t="n">
        <f aca="false">N42-N51</f>
        <v>-91963.4087938448</v>
      </c>
      <c r="O53" s="19" t="n">
        <f aca="false">O42-O51</f>
        <v>-165202.287577458</v>
      </c>
      <c r="P53" s="19" t="n">
        <f aca="false">P42-P51</f>
        <v>-158725.888820871</v>
      </c>
      <c r="Q53" s="19" t="n">
        <f aca="false">Q42-Q51</f>
        <v>-144316.215871866</v>
      </c>
      <c r="R53" s="19" t="n">
        <f aca="false">R42-R51</f>
        <v>-126914.115008575</v>
      </c>
      <c r="S53" s="19" t="n">
        <f aca="false">S42-S51</f>
        <v>-121602.283992264</v>
      </c>
      <c r="T53" s="19" t="n">
        <f aca="false">T42-T51</f>
        <v>-107757.498373415</v>
      </c>
      <c r="U53" s="19" t="n">
        <f aca="false">U42-U51</f>
        <v>-101699.364115568</v>
      </c>
      <c r="V53" s="19" t="n">
        <f aca="false">V42-V51</f>
        <v>-89076.2456850241</v>
      </c>
      <c r="W53" s="19" t="n">
        <f aca="false">W42-W51</f>
        <v>-77462.4160777978</v>
      </c>
      <c r="X53" s="19" t="n">
        <f aca="false">X42-X51</f>
        <v>-60386.0635247852</v>
      </c>
      <c r="Y53" s="19" t="n">
        <f aca="false">Y42-Y51</f>
        <v>-50037.7535053004</v>
      </c>
      <c r="Z53" s="19" t="n">
        <f aca="false">Z42-Z51</f>
        <v>-18363.1259716738</v>
      </c>
      <c r="AA53" s="19" t="n">
        <f aca="false">AA42-AA51</f>
        <v>-100525.950580985</v>
      </c>
      <c r="AB53" s="19" t="n">
        <f aca="false">AB42-AB51</f>
        <v>-89216.6367595562</v>
      </c>
      <c r="AC53" s="19" t="n">
        <f aca="false">AC42-AC51</f>
        <v>-69637.1744682738</v>
      </c>
      <c r="AD53" s="19" t="n">
        <f aca="false">AD42-AD51</f>
        <v>-40203.718001436</v>
      </c>
      <c r="AE53" s="19" t="n">
        <f aca="false">AE42-AE51</f>
        <v>-50288.9324356192</v>
      </c>
      <c r="AF53" s="19" t="n">
        <f aca="false">AF42-AF51</f>
        <v>-31190.6539764878</v>
      </c>
      <c r="AG53" s="19" t="n">
        <f aca="false">AG42-AG51</f>
        <v>-40771.0410686756</v>
      </c>
      <c r="AH53" s="19" t="n">
        <f aca="false">AH42-AH51</f>
        <v>-30138.8078958447</v>
      </c>
      <c r="AI53" s="19" t="n">
        <f aca="false">AI42-AI51</f>
        <v>-20356.6811501451</v>
      </c>
      <c r="AJ53" s="19" t="n">
        <f aca="false">AJ42-AJ51</f>
        <v>1367.95781624431</v>
      </c>
      <c r="AK53" s="19" t="n">
        <f aca="false">AK42-AK51</f>
        <v>10084.1594170848</v>
      </c>
      <c r="AL53" s="19" t="n">
        <f aca="false">AL42-AL51</f>
        <v>58787.7198192294</v>
      </c>
      <c r="AM53" s="19" t="n">
        <f aca="false">AM42-AM51</f>
        <v>-34698.7704868198</v>
      </c>
      <c r="AN53" s="19" t="n">
        <f aca="false">AN42-AN51</f>
        <v>-28249.9950862841</v>
      </c>
      <c r="AO53" s="19" t="n">
        <f aca="false">AO42-AO51</f>
        <v>-7734.82662928675</v>
      </c>
      <c r="AP53" s="19" t="n">
        <f aca="false">AP42-AP51</f>
        <v>27749.8723677061</v>
      </c>
      <c r="AQ53" s="19" t="n">
        <f aca="false">AQ42-AQ51</f>
        <v>3297.89111415157</v>
      </c>
      <c r="AR53" s="19" t="n">
        <f aca="false">AR42-AR51</f>
        <v>23538.6798422895</v>
      </c>
      <c r="AS53" s="19" t="n">
        <f aca="false">AS42-AS51</f>
        <v>-2963.70919314399</v>
      </c>
      <c r="AT53" s="19" t="n">
        <f aca="false">AT42-AT51</f>
        <v>947.670804881491</v>
      </c>
      <c r="AU53" s="19" t="n">
        <f aca="false">AU42-AU51</f>
        <v>4546.31412555778</v>
      </c>
      <c r="AV53" s="19" t="n">
        <f aca="false">AV42-AV51</f>
        <v>24027.3429610411</v>
      </c>
      <c r="AW53" s="19" t="n">
        <f aca="false">AW42-AW51</f>
        <v>27233.854335096</v>
      </c>
      <c r="AX53" s="19" t="n">
        <f aca="false">AX42-AX51</f>
        <v>79617.8352975265</v>
      </c>
      <c r="AY53" s="19" t="n">
        <f aca="false">AY42-AY51</f>
        <v>-7840.42153066985</v>
      </c>
      <c r="AZ53" s="19" t="n">
        <f aca="false">AZ42-AZ51</f>
        <v>-5468.04964008066</v>
      </c>
      <c r="BA53" s="19" t="n">
        <f aca="false">BA42-BA51</f>
        <v>13568.0398602943</v>
      </c>
      <c r="BB53" s="19" t="n">
        <f aca="false">BB42-BB51</f>
        <v>49600.0926831982</v>
      </c>
      <c r="BC53" s="19" t="n">
        <f aca="false">BC42-BC51</f>
        <v>17626.7498983525</v>
      </c>
      <c r="BD53" s="19" t="n">
        <f aca="false">BD42-BD51</f>
        <v>36561.9007374059</v>
      </c>
      <c r="BE53" s="19" t="n">
        <f aca="false">BE42-BE51</f>
        <v>3834.25508358917</v>
      </c>
      <c r="BF53" s="19" t="n">
        <f aca="false">BF42-BF51</f>
        <v>5273.17137147195</v>
      </c>
      <c r="BG53" s="19" t="n">
        <f aca="false">BG42-BG51</f>
        <v>6597.03826525755</v>
      </c>
      <c r="BH53" s="19" t="n">
        <f aca="false">BH42-BH51</f>
        <v>25252.6890595766</v>
      </c>
      <c r="BI53" s="19" t="n">
        <f aca="false">BI42-BI51</f>
        <v>26432.2986719737</v>
      </c>
      <c r="BJ53" s="19" t="n">
        <f aca="false">BJ42-BJ51</f>
        <v>80170.2306933983</v>
      </c>
    </row>
    <row r="55" customFormat="false" ht="15" hidden="false" customHeight="false" outlineLevel="0" collapsed="false">
      <c r="A55" s="27" t="s">
        <v>213</v>
      </c>
    </row>
    <row r="56" customFormat="false" ht="15" hidden="false" customHeight="false" outlineLevel="0" collapsed="false">
      <c r="A56" s="6" t="s">
        <v>214</v>
      </c>
      <c r="B56" s="16" t="s">
        <v>194</v>
      </c>
      <c r="C56" s="23" t="n">
        <f aca="false">INDEX(Assumptions!$B$43:$F$43,C$5)/12</f>
        <v>16666.6666666667</v>
      </c>
      <c r="D56" s="23" t="n">
        <f aca="false">INDEX(Assumptions!$B$43:$F$43,D$5)/12</f>
        <v>16666.6666666667</v>
      </c>
      <c r="E56" s="23" t="n">
        <f aca="false">INDEX(Assumptions!$B$43:$F$43,E$5)/12</f>
        <v>16666.6666666667</v>
      </c>
      <c r="F56" s="23" t="n">
        <f aca="false">INDEX(Assumptions!$B$43:$F$43,F$5)/12</f>
        <v>16666.6666666667</v>
      </c>
      <c r="G56" s="23" t="n">
        <f aca="false">INDEX(Assumptions!$B$43:$F$43,G$5)/12</f>
        <v>16666.6666666667</v>
      </c>
      <c r="H56" s="23" t="n">
        <f aca="false">INDEX(Assumptions!$B$43:$F$43,H$5)/12</f>
        <v>16666.6666666667</v>
      </c>
      <c r="I56" s="23" t="n">
        <f aca="false">INDEX(Assumptions!$B$43:$F$43,I$5)/12</f>
        <v>16666.6666666667</v>
      </c>
      <c r="J56" s="23" t="n">
        <f aca="false">INDEX(Assumptions!$B$43:$F$43,J$5)/12</f>
        <v>16666.6666666667</v>
      </c>
      <c r="K56" s="23" t="n">
        <f aca="false">INDEX(Assumptions!$B$43:$F$43,K$5)/12</f>
        <v>16666.6666666667</v>
      </c>
      <c r="L56" s="23" t="n">
        <f aca="false">INDEX(Assumptions!$B$43:$F$43,L$5)/12</f>
        <v>16666.6666666667</v>
      </c>
      <c r="M56" s="23" t="n">
        <f aca="false">INDEX(Assumptions!$B$43:$F$43,M$5)/12</f>
        <v>16666.6666666667</v>
      </c>
      <c r="N56" s="23" t="n">
        <f aca="false">INDEX(Assumptions!$B$43:$F$43,N$5)/12</f>
        <v>16666.6666666667</v>
      </c>
      <c r="O56" s="23" t="n">
        <f aca="false">INDEX(Assumptions!$B$43:$F$43,O$5)/12</f>
        <v>20833.3333333333</v>
      </c>
      <c r="P56" s="23" t="n">
        <f aca="false">INDEX(Assumptions!$B$43:$F$43,P$5)/12</f>
        <v>20833.3333333333</v>
      </c>
      <c r="Q56" s="23" t="n">
        <f aca="false">INDEX(Assumptions!$B$43:$F$43,Q$5)/12</f>
        <v>20833.3333333333</v>
      </c>
      <c r="R56" s="23" t="n">
        <f aca="false">INDEX(Assumptions!$B$43:$F$43,R$5)/12</f>
        <v>20833.3333333333</v>
      </c>
      <c r="S56" s="23" t="n">
        <f aca="false">INDEX(Assumptions!$B$43:$F$43,S$5)/12</f>
        <v>20833.3333333333</v>
      </c>
      <c r="T56" s="23" t="n">
        <f aca="false">INDEX(Assumptions!$B$43:$F$43,T$5)/12</f>
        <v>20833.3333333333</v>
      </c>
      <c r="U56" s="23" t="n">
        <f aca="false">INDEX(Assumptions!$B$43:$F$43,U$5)/12</f>
        <v>20833.3333333333</v>
      </c>
      <c r="V56" s="23" t="n">
        <f aca="false">INDEX(Assumptions!$B$43:$F$43,V$5)/12</f>
        <v>20833.3333333333</v>
      </c>
      <c r="W56" s="23" t="n">
        <f aca="false">INDEX(Assumptions!$B$43:$F$43,W$5)/12</f>
        <v>20833.3333333333</v>
      </c>
      <c r="X56" s="23" t="n">
        <f aca="false">INDEX(Assumptions!$B$43:$F$43,X$5)/12</f>
        <v>20833.3333333333</v>
      </c>
      <c r="Y56" s="23" t="n">
        <f aca="false">INDEX(Assumptions!$B$43:$F$43,Y$5)/12</f>
        <v>20833.3333333333</v>
      </c>
      <c r="Z56" s="23" t="n">
        <f aca="false">INDEX(Assumptions!$B$43:$F$43,Z$5)/12</f>
        <v>20833.3333333333</v>
      </c>
      <c r="AA56" s="23" t="n">
        <f aca="false">INDEX(Assumptions!$B$43:$F$43,AA$5)/12</f>
        <v>25000</v>
      </c>
      <c r="AB56" s="23" t="n">
        <f aca="false">INDEX(Assumptions!$B$43:$F$43,AB$5)/12</f>
        <v>25000</v>
      </c>
      <c r="AC56" s="23" t="n">
        <f aca="false">INDEX(Assumptions!$B$43:$F$43,AC$5)/12</f>
        <v>25000</v>
      </c>
      <c r="AD56" s="23" t="n">
        <f aca="false">INDEX(Assumptions!$B$43:$F$43,AD$5)/12</f>
        <v>25000</v>
      </c>
      <c r="AE56" s="23" t="n">
        <f aca="false">INDEX(Assumptions!$B$43:$F$43,AE$5)/12</f>
        <v>25000</v>
      </c>
      <c r="AF56" s="23" t="n">
        <f aca="false">INDEX(Assumptions!$B$43:$F$43,AF$5)/12</f>
        <v>25000</v>
      </c>
      <c r="AG56" s="23" t="n">
        <f aca="false">INDEX(Assumptions!$B$43:$F$43,AG$5)/12</f>
        <v>25000</v>
      </c>
      <c r="AH56" s="23" t="n">
        <f aca="false">INDEX(Assumptions!$B$43:$F$43,AH$5)/12</f>
        <v>25000</v>
      </c>
      <c r="AI56" s="23" t="n">
        <f aca="false">INDEX(Assumptions!$B$43:$F$43,AI$5)/12</f>
        <v>25000</v>
      </c>
      <c r="AJ56" s="23" t="n">
        <f aca="false">INDEX(Assumptions!$B$43:$F$43,AJ$5)/12</f>
        <v>25000</v>
      </c>
      <c r="AK56" s="23" t="n">
        <f aca="false">INDEX(Assumptions!$B$43:$F$43,AK$5)/12</f>
        <v>25000</v>
      </c>
      <c r="AL56" s="23" t="n">
        <f aca="false">INDEX(Assumptions!$B$43:$F$43,AL$5)/12</f>
        <v>25000</v>
      </c>
      <c r="AM56" s="23" t="n">
        <f aca="false">INDEX(Assumptions!$B$43:$F$43,AM$5)/12</f>
        <v>25000</v>
      </c>
      <c r="AN56" s="23" t="n">
        <f aca="false">INDEX(Assumptions!$B$43:$F$43,AN$5)/12</f>
        <v>25000</v>
      </c>
      <c r="AO56" s="23" t="n">
        <f aca="false">INDEX(Assumptions!$B$43:$F$43,AO$5)/12</f>
        <v>25000</v>
      </c>
      <c r="AP56" s="23" t="n">
        <f aca="false">INDEX(Assumptions!$B$43:$F$43,AP$5)/12</f>
        <v>25000</v>
      </c>
      <c r="AQ56" s="23" t="n">
        <f aca="false">INDEX(Assumptions!$B$43:$F$43,AQ$5)/12</f>
        <v>25000</v>
      </c>
      <c r="AR56" s="23" t="n">
        <f aca="false">INDEX(Assumptions!$B$43:$F$43,AR$5)/12</f>
        <v>25000</v>
      </c>
      <c r="AS56" s="23" t="n">
        <f aca="false">INDEX(Assumptions!$B$43:$F$43,AS$5)/12</f>
        <v>25000</v>
      </c>
      <c r="AT56" s="23" t="n">
        <f aca="false">INDEX(Assumptions!$B$43:$F$43,AT$5)/12</f>
        <v>25000</v>
      </c>
      <c r="AU56" s="23" t="n">
        <f aca="false">INDEX(Assumptions!$B$43:$F$43,AU$5)/12</f>
        <v>25000</v>
      </c>
      <c r="AV56" s="23" t="n">
        <f aca="false">INDEX(Assumptions!$B$43:$F$43,AV$5)/12</f>
        <v>25000</v>
      </c>
      <c r="AW56" s="23" t="n">
        <f aca="false">INDEX(Assumptions!$B$43:$F$43,AW$5)/12</f>
        <v>25000</v>
      </c>
      <c r="AX56" s="23" t="n">
        <f aca="false">INDEX(Assumptions!$B$43:$F$43,AX$5)/12</f>
        <v>25000</v>
      </c>
      <c r="AY56" s="23" t="n">
        <f aca="false">INDEX(Assumptions!$B$43:$F$43,AY$5)/12</f>
        <v>25000</v>
      </c>
      <c r="AZ56" s="23" t="n">
        <f aca="false">INDEX(Assumptions!$B$43:$F$43,AZ$5)/12</f>
        <v>25000</v>
      </c>
      <c r="BA56" s="23" t="n">
        <f aca="false">INDEX(Assumptions!$B$43:$F$43,BA$5)/12</f>
        <v>25000</v>
      </c>
      <c r="BB56" s="23" t="n">
        <f aca="false">INDEX(Assumptions!$B$43:$F$43,BB$5)/12</f>
        <v>25000</v>
      </c>
      <c r="BC56" s="23" t="n">
        <f aca="false">INDEX(Assumptions!$B$43:$F$43,BC$5)/12</f>
        <v>25000</v>
      </c>
      <c r="BD56" s="23" t="n">
        <f aca="false">INDEX(Assumptions!$B$43:$F$43,BD$5)/12</f>
        <v>25000</v>
      </c>
      <c r="BE56" s="23" t="n">
        <f aca="false">INDEX(Assumptions!$B$43:$F$43,BE$5)/12</f>
        <v>25000</v>
      </c>
      <c r="BF56" s="23" t="n">
        <f aca="false">INDEX(Assumptions!$B$43:$F$43,BF$5)/12</f>
        <v>25000</v>
      </c>
      <c r="BG56" s="23" t="n">
        <f aca="false">INDEX(Assumptions!$B$43:$F$43,BG$5)/12</f>
        <v>25000</v>
      </c>
      <c r="BH56" s="23" t="n">
        <f aca="false">INDEX(Assumptions!$B$43:$F$43,BH$5)/12</f>
        <v>25000</v>
      </c>
      <c r="BI56" s="23" t="n">
        <f aca="false">INDEX(Assumptions!$B$43:$F$43,BI$5)/12</f>
        <v>25000</v>
      </c>
      <c r="BJ56" s="23" t="n">
        <f aca="false">INDEX(Assumptions!$B$43:$F$43,BJ$5)/12</f>
        <v>25000</v>
      </c>
    </row>
    <row r="57" customFormat="false" ht="15" hidden="false" customHeight="false" outlineLevel="0" collapsed="false">
      <c r="A57" s="6" t="s">
        <v>215</v>
      </c>
      <c r="B57" s="16" t="s">
        <v>194</v>
      </c>
      <c r="C57" s="23" t="n">
        <f aca="false">Assumptions!$B$51*C26/30</f>
        <v>0</v>
      </c>
      <c r="D57" s="23" t="n">
        <f aca="false">Assumptions!$B$51*D26/30</f>
        <v>0</v>
      </c>
      <c r="E57" s="23" t="n">
        <f aca="false">Assumptions!$B$51*E26/30</f>
        <v>0</v>
      </c>
      <c r="F57" s="23" t="n">
        <f aca="false">Assumptions!$B$51*F26/30</f>
        <v>0</v>
      </c>
      <c r="G57" s="23" t="n">
        <f aca="false">Assumptions!$B$51*G26/30</f>
        <v>0</v>
      </c>
      <c r="H57" s="23" t="n">
        <f aca="false">Assumptions!$B$51*H26/30</f>
        <v>0</v>
      </c>
      <c r="I57" s="23" t="n">
        <f aca="false">Assumptions!$B$51*I26/30</f>
        <v>0</v>
      </c>
      <c r="J57" s="23" t="n">
        <f aca="false">Assumptions!$B$51*J26/30</f>
        <v>0</v>
      </c>
      <c r="K57" s="23" t="n">
        <f aca="false">Assumptions!$B$51*K26/30</f>
        <v>0</v>
      </c>
      <c r="L57" s="23" t="n">
        <f aca="false">Assumptions!$B$51*L26/30</f>
        <v>0</v>
      </c>
      <c r="M57" s="23" t="n">
        <f aca="false">Assumptions!$B$51*M26/30</f>
        <v>30649.6410587594</v>
      </c>
      <c r="N57" s="23" t="n">
        <f aca="false">Assumptions!$B$51*N26/30</f>
        <v>67675.9729440543</v>
      </c>
      <c r="O57" s="23" t="n">
        <f aca="false">Assumptions!$B$51*O26/30</f>
        <v>80553.3814981634</v>
      </c>
      <c r="P57" s="23" t="n">
        <f aca="false">Assumptions!$B$51*P26/30</f>
        <v>103229.847732712</v>
      </c>
      <c r="Q57" s="23" t="n">
        <f aca="false">Assumptions!$B$51*Q26/30</f>
        <v>158342.361351665</v>
      </c>
      <c r="R57" s="23" t="n">
        <f aca="false">Assumptions!$B$51*R26/30</f>
        <v>224454.540729552</v>
      </c>
      <c r="S57" s="23" t="n">
        <f aca="false">Assumptions!$B$51*S26/30</f>
        <v>246102.255990062</v>
      </c>
      <c r="T57" s="23" t="n">
        <f aca="false">Assumptions!$B$51*T26/30</f>
        <v>299032.212540522</v>
      </c>
      <c r="U57" s="23" t="n">
        <f aca="false">Assumptions!$B$51*U26/30</f>
        <v>323359.384356337</v>
      </c>
      <c r="V57" s="23" t="n">
        <f aca="false">Assumptions!$B$51*V26/30</f>
        <v>371943.645475124</v>
      </c>
      <c r="W57" s="23" t="n">
        <f aca="false">Assumptions!$B$51*W26/30</f>
        <v>416643.323556357</v>
      </c>
      <c r="X57" s="23" t="n">
        <f aca="false">Assumptions!$B$51*X26/30</f>
        <v>481862.118642868</v>
      </c>
      <c r="Y57" s="23" t="n">
        <f aca="false">Assumptions!$B$51*Y26/30</f>
        <v>521691.024542086</v>
      </c>
      <c r="Z57" s="23" t="n">
        <f aca="false">Assumptions!$B$51*Z26/30</f>
        <v>642085.694998778</v>
      </c>
      <c r="AA57" s="23" t="n">
        <f aca="false">Assumptions!$B$51*AA26/30</f>
        <v>579158.05386793</v>
      </c>
      <c r="AB57" s="23" t="n">
        <f aca="false">Assumptions!$B$51*AB26/30</f>
        <v>624000.499971349</v>
      </c>
      <c r="AC57" s="23" t="n">
        <f aca="false">Assumptions!$B$51*AC26/30</f>
        <v>700271.096891701</v>
      </c>
      <c r="AD57" s="23" t="n">
        <f aca="false">Assumptions!$B$51*AD26/30</f>
        <v>814249.935253009</v>
      </c>
      <c r="AE57" s="23" t="n">
        <f aca="false">Assumptions!$B$51*AE26/30</f>
        <v>776988.616119193</v>
      </c>
      <c r="AF57" s="23" t="n">
        <f aca="false">Assumptions!$B$51*AF26/30</f>
        <v>851351.275882635</v>
      </c>
      <c r="AG57" s="23" t="n">
        <f aca="false">Assumptions!$B$51*AG26/30</f>
        <v>812934.885970618</v>
      </c>
      <c r="AH57" s="23" t="n">
        <f aca="false">Assumptions!$B$51*AH26/30</f>
        <v>852188.290169784</v>
      </c>
      <c r="AI57" s="23" t="n">
        <f aca="false">Assumptions!$B$51*AI26/30</f>
        <v>888303.165458414</v>
      </c>
      <c r="AJ57" s="23" t="n">
        <f aca="false">Assumptions!$B$51*AJ26/30</f>
        <v>970032.057634476</v>
      </c>
      <c r="AK57" s="23" t="n">
        <f aca="false">Assumptions!$B$51*AK26/30</f>
        <v>1002211.61755924</v>
      </c>
      <c r="AL57" s="23" t="n">
        <f aca="false">Assumptions!$B$51*AL26/30</f>
        <v>1186590.97822324</v>
      </c>
      <c r="AM57" s="23" t="n">
        <f aca="false">Assumptions!$B$51*AM26/30</f>
        <v>1006104.76875836</v>
      </c>
      <c r="AN57" s="23" t="n">
        <f aca="false">Assumptions!$B$51*AN26/30</f>
        <v>1029913.16190325</v>
      </c>
      <c r="AO57" s="23" t="n">
        <f aca="false">Assumptions!$B$51*AO26/30</f>
        <v>1107176.78003948</v>
      </c>
      <c r="AP57" s="23" t="n">
        <f aca="false">Assumptions!$B$51*AP26/30</f>
        <v>1241229.93874424</v>
      </c>
      <c r="AQ57" s="23" t="n">
        <f aca="false">Assumptions!$B$51*AQ26/30</f>
        <v>1147908.74311428</v>
      </c>
      <c r="AR57" s="23" t="n">
        <f aca="false">Assumptions!$B$51*AR26/30</f>
        <v>1224159.3719541</v>
      </c>
      <c r="AS57" s="23" t="n">
        <f aca="false">Assumptions!$B$51*AS26/30</f>
        <v>1123268.22520223</v>
      </c>
      <c r="AT57" s="23" t="n">
        <f aca="false">Assumptions!$B$51*AT26/30</f>
        <v>1137708.74560309</v>
      </c>
      <c r="AU57" s="23" t="n">
        <f aca="false">Assumptions!$B$51*AU26/30</f>
        <v>1150994.66574225</v>
      </c>
      <c r="AV57" s="23" t="n">
        <f aca="false">Assumptions!$B$51*AV26/30</f>
        <v>1224440.31827315</v>
      </c>
      <c r="AW57" s="23" t="n">
        <f aca="false">Assumptions!$B$51*AW26/30</f>
        <v>1236278.51679542</v>
      </c>
      <c r="AX57" s="23" t="n">
        <f aca="false">Assumptions!$B$51*AX26/30</f>
        <v>1434245.71300887</v>
      </c>
      <c r="AY57" s="23" t="n">
        <f aca="false">Assumptions!$B$51*AY26/30</f>
        <v>1194331.45373334</v>
      </c>
      <c r="AZ57" s="23" t="n">
        <f aca="false">Assumptions!$B$51*AZ26/30</f>
        <v>1203090.07209867</v>
      </c>
      <c r="BA57" s="23" t="n">
        <f aca="false">Assumptions!$B$51*BA26/30</f>
        <v>1274893.04211111</v>
      </c>
      <c r="BB57" s="23" t="n">
        <f aca="false">Assumptions!$B$51*BB26/30</f>
        <v>1410966.98992191</v>
      </c>
      <c r="BC57" s="23" t="n">
        <f aca="false">Assumptions!$B$51*BC26/30</f>
        <v>1289877.49392489</v>
      </c>
      <c r="BD57" s="23" t="n">
        <f aca="false">Assumptions!$B$51*BD26/30</f>
        <v>1361307.80600106</v>
      </c>
      <c r="BE57" s="23" t="n">
        <f aca="false">Assumptions!$B$51*BE26/30</f>
        <v>1237433.48061562</v>
      </c>
      <c r="BF57" s="23" t="n">
        <f aca="false">Assumptions!$B$51*BF26/30</f>
        <v>1242745.85119091</v>
      </c>
      <c r="BG57" s="23" t="n">
        <f aca="false">Assumptions!$B$51*BG26/30</f>
        <v>1247633.46806716</v>
      </c>
      <c r="BH57" s="23" t="n">
        <f aca="false">Assumptions!$B$51*BH26/30</f>
        <v>1318031.88702631</v>
      </c>
      <c r="BI57" s="23" t="n">
        <f aca="false">Assumptions!$B$51*BI26/30</f>
        <v>1322386.91688315</v>
      </c>
      <c r="BJ57" s="23" t="n">
        <f aca="false">Assumptions!$B$51*BJ26/30</f>
        <v>1525352.79844526</v>
      </c>
    </row>
    <row r="58" customFormat="false" ht="15" hidden="false" customHeight="false" outlineLevel="0" collapsed="false">
      <c r="A58" s="6" t="s">
        <v>216</v>
      </c>
      <c r="B58" s="16" t="s">
        <v>194</v>
      </c>
      <c r="C58" s="23" t="n">
        <f aca="false">C57</f>
        <v>0</v>
      </c>
      <c r="D58" s="23" t="n">
        <f aca="false">D57-C57</f>
        <v>0</v>
      </c>
      <c r="E58" s="23" t="n">
        <f aca="false">E57-D57</f>
        <v>0</v>
      </c>
      <c r="F58" s="23" t="n">
        <f aca="false">F57-E57</f>
        <v>0</v>
      </c>
      <c r="G58" s="23" t="n">
        <f aca="false">G57-F57</f>
        <v>0</v>
      </c>
      <c r="H58" s="23" t="n">
        <f aca="false">H57-G57</f>
        <v>0</v>
      </c>
      <c r="I58" s="23" t="n">
        <f aca="false">I57-H57</f>
        <v>0</v>
      </c>
      <c r="J58" s="23" t="n">
        <f aca="false">J57-I57</f>
        <v>0</v>
      </c>
      <c r="K58" s="23" t="n">
        <f aca="false">K57-J57</f>
        <v>0</v>
      </c>
      <c r="L58" s="23" t="n">
        <f aca="false">L57-K57</f>
        <v>0</v>
      </c>
      <c r="M58" s="23" t="n">
        <f aca="false">M57-L57</f>
        <v>30649.6410587594</v>
      </c>
      <c r="N58" s="23" t="n">
        <f aca="false">N57-M57</f>
        <v>37026.3318852949</v>
      </c>
      <c r="O58" s="23" t="n">
        <f aca="false">O57-N57</f>
        <v>12877.4085541091</v>
      </c>
      <c r="P58" s="23" t="n">
        <f aca="false">P57-O57</f>
        <v>22676.4662345483</v>
      </c>
      <c r="Q58" s="23" t="n">
        <f aca="false">Q57-P57</f>
        <v>55112.5136189528</v>
      </c>
      <c r="R58" s="23" t="n">
        <f aca="false">R57-Q57</f>
        <v>66112.1793778876</v>
      </c>
      <c r="S58" s="23" t="n">
        <f aca="false">S57-R57</f>
        <v>21647.7152605095</v>
      </c>
      <c r="T58" s="23" t="n">
        <f aca="false">T57-S57</f>
        <v>52929.9565504607</v>
      </c>
      <c r="U58" s="23" t="n">
        <f aca="false">U57-T57</f>
        <v>24327.1718158144</v>
      </c>
      <c r="V58" s="23" t="n">
        <f aca="false">V57-U57</f>
        <v>48584.2611187875</v>
      </c>
      <c r="W58" s="23" t="n">
        <f aca="false">W57-V57</f>
        <v>44699.6780812331</v>
      </c>
      <c r="X58" s="23" t="n">
        <f aca="false">X57-W57</f>
        <v>65218.7950865105</v>
      </c>
      <c r="Y58" s="23" t="n">
        <f aca="false">Y57-X57</f>
        <v>39828.9058992183</v>
      </c>
      <c r="Z58" s="23" t="n">
        <f aca="false">Z57-Y57</f>
        <v>120394.670456691</v>
      </c>
      <c r="AA58" s="23" t="n">
        <f aca="false">AA57-Z57</f>
        <v>-62927.6411308479</v>
      </c>
      <c r="AB58" s="23" t="n">
        <f aca="false">AB57-AA57</f>
        <v>44842.4461034192</v>
      </c>
      <c r="AC58" s="23" t="n">
        <f aca="false">AC57-AB57</f>
        <v>76270.5969203523</v>
      </c>
      <c r="AD58" s="23" t="n">
        <f aca="false">AD57-AC57</f>
        <v>113978.838361308</v>
      </c>
      <c r="AE58" s="23" t="n">
        <f aca="false">AE57-AD57</f>
        <v>-37261.3191338162</v>
      </c>
      <c r="AF58" s="23" t="n">
        <f aca="false">AF57-AE57</f>
        <v>74362.6597634422</v>
      </c>
      <c r="AG58" s="23" t="n">
        <f aca="false">AG57-AF57</f>
        <v>-38416.3899120175</v>
      </c>
      <c r="AH58" s="23" t="n">
        <f aca="false">AH57-AG57</f>
        <v>39253.4041991665</v>
      </c>
      <c r="AI58" s="23" t="n">
        <f aca="false">AI57-AH57</f>
        <v>36114.8752886297</v>
      </c>
      <c r="AJ58" s="23" t="n">
        <f aca="false">AJ57-AI57</f>
        <v>81728.8921760627</v>
      </c>
      <c r="AK58" s="23" t="n">
        <f aca="false">AK57-AJ57</f>
        <v>32179.5599247669</v>
      </c>
      <c r="AL58" s="23" t="n">
        <f aca="false">AL57-AK57</f>
        <v>184379.360664</v>
      </c>
      <c r="AM58" s="23" t="n">
        <f aca="false">AM57-AL57</f>
        <v>-180486.20946488</v>
      </c>
      <c r="AN58" s="23" t="n">
        <f aca="false">AN57-AM57</f>
        <v>23808.3931448866</v>
      </c>
      <c r="AO58" s="23" t="n">
        <f aca="false">AO57-AN57</f>
        <v>77263.6181362263</v>
      </c>
      <c r="AP58" s="23" t="n">
        <f aca="false">AP57-AO57</f>
        <v>134053.158704762</v>
      </c>
      <c r="AQ58" s="23" t="n">
        <f aca="false">AQ57-AP57</f>
        <v>-93321.1956299539</v>
      </c>
      <c r="AR58" s="23" t="n">
        <f aca="false">AR57-AQ57</f>
        <v>76250.628839819</v>
      </c>
      <c r="AS58" s="23" t="n">
        <f aca="false">AS57-AR57</f>
        <v>-100891.146751877</v>
      </c>
      <c r="AT58" s="23" t="n">
        <f aca="false">AT57-AS57</f>
        <v>14440.5204008662</v>
      </c>
      <c r="AU58" s="23" t="n">
        <f aca="false">AU57-AT57</f>
        <v>13285.9201391572</v>
      </c>
      <c r="AV58" s="23" t="n">
        <f aca="false">AV57-AU57</f>
        <v>73445.6525309009</v>
      </c>
      <c r="AW58" s="23" t="n">
        <f aca="false">AW57-AV57</f>
        <v>11838.1985222662</v>
      </c>
      <c r="AX58" s="23" t="n">
        <f aca="false">AX57-AW57</f>
        <v>197967.196213449</v>
      </c>
      <c r="AY58" s="23" t="n">
        <f aca="false">AY57-AX57</f>
        <v>-239914.259275531</v>
      </c>
      <c r="AZ58" s="23" t="n">
        <f aca="false">AZ57-AY57</f>
        <v>8758.61836533085</v>
      </c>
      <c r="BA58" s="23" t="n">
        <f aca="false">BA57-AZ57</f>
        <v>71802.9700124485</v>
      </c>
      <c r="BB58" s="23" t="n">
        <f aca="false">BB57-BA57</f>
        <v>136073.947810794</v>
      </c>
      <c r="BC58" s="23" t="n">
        <f aca="false">BC57-BB57</f>
        <v>-121089.495997018</v>
      </c>
      <c r="BD58" s="23" t="n">
        <f aca="false">BD57-BC57</f>
        <v>71430.3120761737</v>
      </c>
      <c r="BE58" s="23" t="n">
        <f aca="false">BE57-BD57</f>
        <v>-123874.325385446</v>
      </c>
      <c r="BF58" s="23" t="n">
        <f aca="false">BF57-BE57</f>
        <v>5312.3705752953</v>
      </c>
      <c r="BG58" s="23" t="n">
        <f aca="false">BG57-BF57</f>
        <v>4887.61687624175</v>
      </c>
      <c r="BH58" s="23" t="n">
        <f aca="false">BH57-BG57</f>
        <v>70398.4189591496</v>
      </c>
      <c r="BI58" s="23" t="n">
        <f aca="false">BI57-BH57</f>
        <v>4355.0298568476</v>
      </c>
      <c r="BJ58" s="23" t="n">
        <f aca="false">BJ57-BI57</f>
        <v>202965.88156211</v>
      </c>
    </row>
    <row r="59" customFormat="false" ht="15" hidden="false" customHeight="false" outlineLevel="0" collapsed="false">
      <c r="A59" s="4" t="s">
        <v>217</v>
      </c>
      <c r="B59" s="16" t="s">
        <v>194</v>
      </c>
      <c r="C59" s="19" t="n">
        <f aca="false">C53-C56-C58</f>
        <v>-127958.333333333</v>
      </c>
      <c r="D59" s="19" t="n">
        <f aca="false">D53-D56-D58</f>
        <v>-127958.333333333</v>
      </c>
      <c r="E59" s="19" t="n">
        <f aca="false">E53-E56-E58</f>
        <v>-127958.333333333</v>
      </c>
      <c r="F59" s="19" t="n">
        <f aca="false">F53-F56-F58</f>
        <v>-127958.333333333</v>
      </c>
      <c r="G59" s="19" t="n">
        <f aca="false">G53-G56-G58</f>
        <v>-127958.333333333</v>
      </c>
      <c r="H59" s="19" t="n">
        <f aca="false">H53-H56-H58</f>
        <v>-127958.333333333</v>
      </c>
      <c r="I59" s="19" t="n">
        <f aca="false">I53-I56-I58</f>
        <v>-127958.333333333</v>
      </c>
      <c r="J59" s="19" t="n">
        <f aca="false">J53-J56-J58</f>
        <v>-127958.333333333</v>
      </c>
      <c r="K59" s="19" t="n">
        <f aca="false">K53-K56-K58</f>
        <v>-127958.333333333</v>
      </c>
      <c r="L59" s="19" t="n">
        <f aca="false">L53-L56-L58</f>
        <v>-127958.333333333</v>
      </c>
      <c r="M59" s="19" t="n">
        <f aca="false">M53-M56-M58</f>
        <v>-149854.436905711</v>
      </c>
      <c r="N59" s="19" t="n">
        <f aca="false">N53-N56-N58</f>
        <v>-145656.407345806</v>
      </c>
      <c r="O59" s="19" t="n">
        <f aca="false">O53-O56-O58</f>
        <v>-198913.0294649</v>
      </c>
      <c r="P59" s="19" t="n">
        <f aca="false">P53-P56-P58</f>
        <v>-202235.688388753</v>
      </c>
      <c r="Q59" s="19" t="n">
        <f aca="false">Q53-Q56-Q58</f>
        <v>-220262.062824152</v>
      </c>
      <c r="R59" s="19" t="n">
        <f aca="false">R53-R56-R58</f>
        <v>-213859.627719796</v>
      </c>
      <c r="S59" s="19" t="n">
        <f aca="false">S53-S56-S58</f>
        <v>-164083.332586106</v>
      </c>
      <c r="T59" s="19" t="n">
        <f aca="false">T53-T56-T58</f>
        <v>-181520.788257209</v>
      </c>
      <c r="U59" s="19" t="n">
        <f aca="false">U53-U56-U58</f>
        <v>-146859.869264716</v>
      </c>
      <c r="V59" s="19" t="n">
        <f aca="false">V53-V56-V58</f>
        <v>-158493.840137145</v>
      </c>
      <c r="W59" s="19" t="n">
        <f aca="false">W53-W56-W58</f>
        <v>-142995.427492364</v>
      </c>
      <c r="X59" s="19" t="n">
        <f aca="false">X53-X56-X58</f>
        <v>-146438.191944629</v>
      </c>
      <c r="Y59" s="19" t="n">
        <f aca="false">Y53-Y56-Y58</f>
        <v>-110699.992737852</v>
      </c>
      <c r="Z59" s="19" t="n">
        <f aca="false">Z53-Z56-Z58</f>
        <v>-159591.129761699</v>
      </c>
      <c r="AA59" s="19" t="n">
        <f aca="false">AA53-AA56-AA58</f>
        <v>-62598.3094501374</v>
      </c>
      <c r="AB59" s="19" t="n">
        <f aca="false">AB53-AB56-AB58</f>
        <v>-159059.082862975</v>
      </c>
      <c r="AC59" s="19" t="n">
        <f aca="false">AC53-AC56-AC58</f>
        <v>-170907.771388626</v>
      </c>
      <c r="AD59" s="19" t="n">
        <f aca="false">AD53-AD56-AD58</f>
        <v>-179182.556362744</v>
      </c>
      <c r="AE59" s="19" t="n">
        <f aca="false">AE53-AE56-AE58</f>
        <v>-38027.613301803</v>
      </c>
      <c r="AF59" s="19" t="n">
        <f aca="false">AF53-AF56-AF58</f>
        <v>-130553.31373993</v>
      </c>
      <c r="AG59" s="19" t="n">
        <f aca="false">AG53-AG56-AG58</f>
        <v>-27354.6511566581</v>
      </c>
      <c r="AH59" s="19" t="n">
        <f aca="false">AH53-AH56-AH58</f>
        <v>-94392.2120950112</v>
      </c>
      <c r="AI59" s="19" t="n">
        <f aca="false">AI53-AI56-AI58</f>
        <v>-81471.5564387747</v>
      </c>
      <c r="AJ59" s="19" t="n">
        <f aca="false">AJ53-AJ56-AJ58</f>
        <v>-105360.934359818</v>
      </c>
      <c r="AK59" s="19" t="n">
        <f aca="false">AK53-AK56-AK58</f>
        <v>-47095.4005076821</v>
      </c>
      <c r="AL59" s="19" t="n">
        <f aca="false">AL53-AL56-AL58</f>
        <v>-150591.640844771</v>
      </c>
      <c r="AM59" s="19" t="n">
        <f aca="false">AM53-AM56-AM58</f>
        <v>120787.43897806</v>
      </c>
      <c r="AN59" s="19" t="n">
        <f aca="false">AN53-AN56-AN58</f>
        <v>-77058.3882311707</v>
      </c>
      <c r="AO59" s="19" t="n">
        <f aca="false">AO53-AO56-AO58</f>
        <v>-109998.444765513</v>
      </c>
      <c r="AP59" s="19" t="n">
        <f aca="false">AP53-AP56-AP58</f>
        <v>-131303.286337056</v>
      </c>
      <c r="AQ59" s="19" t="n">
        <f aca="false">AQ53-AQ56-AQ58</f>
        <v>71619.0867441054</v>
      </c>
      <c r="AR59" s="19" t="n">
        <f aca="false">AR53-AR56-AR58</f>
        <v>-77711.9489975295</v>
      </c>
      <c r="AS59" s="19" t="n">
        <f aca="false">AS53-AS56-AS58</f>
        <v>72927.4375587327</v>
      </c>
      <c r="AT59" s="19" t="n">
        <f aca="false">AT53-AT56-AT58</f>
        <v>-38492.8495959847</v>
      </c>
      <c r="AU59" s="19" t="n">
        <f aca="false">AU53-AU56-AU58</f>
        <v>-33739.6060135994</v>
      </c>
      <c r="AV59" s="19" t="n">
        <f aca="false">AV53-AV56-AV58</f>
        <v>-74418.3095698598</v>
      </c>
      <c r="AW59" s="19" t="n">
        <f aca="false">AW53-AW56-AW58</f>
        <v>-9604.34418717027</v>
      </c>
      <c r="AX59" s="19" t="n">
        <f aca="false">AX53-AX56-AX58</f>
        <v>-143349.360915923</v>
      </c>
      <c r="AY59" s="19" t="n">
        <f aca="false">AY53-AY56-AY58</f>
        <v>207073.837744861</v>
      </c>
      <c r="AZ59" s="19" t="n">
        <f aca="false">AZ53-AZ56-AZ58</f>
        <v>-39226.6680054115</v>
      </c>
      <c r="BA59" s="19" t="n">
        <f aca="false">BA53-BA56-BA58</f>
        <v>-83234.9301521542</v>
      </c>
      <c r="BB59" s="19" t="n">
        <f aca="false">BB53-BB56-BB58</f>
        <v>-111473.855127596</v>
      </c>
      <c r="BC59" s="19" t="n">
        <f aca="false">BC53-BC56-BC58</f>
        <v>113716.24589537</v>
      </c>
      <c r="BD59" s="19" t="n">
        <f aca="false">BD53-BD56-BD58</f>
        <v>-59868.4113387678</v>
      </c>
      <c r="BE59" s="19" t="n">
        <f aca="false">BE53-BE56-BE58</f>
        <v>102708.580469035</v>
      </c>
      <c r="BF59" s="19" t="n">
        <f aca="false">BF53-BF56-BF58</f>
        <v>-25039.1992038233</v>
      </c>
      <c r="BG59" s="19" t="n">
        <f aca="false">BG53-BG56-BG58</f>
        <v>-23290.5786109842</v>
      </c>
      <c r="BH59" s="19" t="n">
        <f aca="false">BH53-BH56-BH58</f>
        <v>-70145.729899573</v>
      </c>
      <c r="BI59" s="19" t="n">
        <f aca="false">BI53-BI56-BI58</f>
        <v>-2922.7311848739</v>
      </c>
      <c r="BJ59" s="19" t="n">
        <f aca="false">BJ53-BJ56-BJ58</f>
        <v>-147795.650868712</v>
      </c>
    </row>
    <row r="60" customFormat="false" ht="15" hidden="false" customHeight="false" outlineLevel="0" collapsed="false">
      <c r="A60" s="6" t="s">
        <v>218</v>
      </c>
      <c r="B60" s="16" t="s">
        <v>194</v>
      </c>
      <c r="C60" s="23" t="n">
        <f aca="false">IF(C$4=Assumptions!$B$48,Assumptions!$B$47,0)+IF(C$4=Assumptions!$B$50,Assumptions!$B$49,0)</f>
        <v>4000000</v>
      </c>
      <c r="D60" s="23" t="n">
        <f aca="false">IF(D$4=Assumptions!$B$48,Assumptions!$B$47,0)+IF(D$4=Assumptions!$B$50,Assumptions!$B$49,0)</f>
        <v>0</v>
      </c>
      <c r="E60" s="23" t="n">
        <f aca="false">IF(E$4=Assumptions!$B$48,Assumptions!$B$47,0)+IF(E$4=Assumptions!$B$50,Assumptions!$B$49,0)</f>
        <v>0</v>
      </c>
      <c r="F60" s="23" t="n">
        <f aca="false">IF(F$4=Assumptions!$B$48,Assumptions!$B$47,0)+IF(F$4=Assumptions!$B$50,Assumptions!$B$49,0)</f>
        <v>0</v>
      </c>
      <c r="G60" s="23" t="n">
        <f aca="false">IF(G$4=Assumptions!$B$48,Assumptions!$B$47,0)+IF(G$4=Assumptions!$B$50,Assumptions!$B$49,0)</f>
        <v>0</v>
      </c>
      <c r="H60" s="23" t="n">
        <f aca="false">IF(H$4=Assumptions!$B$48,Assumptions!$B$47,0)+IF(H$4=Assumptions!$B$50,Assumptions!$B$49,0)</f>
        <v>0</v>
      </c>
      <c r="I60" s="23" t="n">
        <f aca="false">IF(I$4=Assumptions!$B$48,Assumptions!$B$47,0)+IF(I$4=Assumptions!$B$50,Assumptions!$B$49,0)</f>
        <v>0</v>
      </c>
      <c r="J60" s="23" t="n">
        <f aca="false">IF(J$4=Assumptions!$B$48,Assumptions!$B$47,0)+IF(J$4=Assumptions!$B$50,Assumptions!$B$49,0)</f>
        <v>0</v>
      </c>
      <c r="K60" s="23" t="n">
        <f aca="false">IF(K$4=Assumptions!$B$48,Assumptions!$B$47,0)+IF(K$4=Assumptions!$B$50,Assumptions!$B$49,0)</f>
        <v>0</v>
      </c>
      <c r="L60" s="23" t="n">
        <f aca="false">IF(L$4=Assumptions!$B$48,Assumptions!$B$47,0)+IF(L$4=Assumptions!$B$50,Assumptions!$B$49,0)</f>
        <v>0</v>
      </c>
      <c r="M60" s="23" t="n">
        <f aca="false">IF(M$4=Assumptions!$B$48,Assumptions!$B$47,0)+IF(M$4=Assumptions!$B$50,Assumptions!$B$49,0)</f>
        <v>0</v>
      </c>
      <c r="N60" s="23" t="n">
        <f aca="false">IF(N$4=Assumptions!$B$48,Assumptions!$B$47,0)+IF(N$4=Assumptions!$B$50,Assumptions!$B$49,0)</f>
        <v>0</v>
      </c>
      <c r="O60" s="23" t="n">
        <f aca="false">IF(O$4=Assumptions!$B$48,Assumptions!$B$47,0)+IF(O$4=Assumptions!$B$50,Assumptions!$B$49,0)</f>
        <v>0</v>
      </c>
      <c r="P60" s="23" t="n">
        <f aca="false">IF(P$4=Assumptions!$B$48,Assumptions!$B$47,0)+IF(P$4=Assumptions!$B$50,Assumptions!$B$49,0)</f>
        <v>0</v>
      </c>
      <c r="Q60" s="23" t="n">
        <f aca="false">IF(Q$4=Assumptions!$B$48,Assumptions!$B$47,0)+IF(Q$4=Assumptions!$B$50,Assumptions!$B$49,0)</f>
        <v>0</v>
      </c>
      <c r="R60" s="23" t="n">
        <f aca="false">IF(R$4=Assumptions!$B$48,Assumptions!$B$47,0)+IF(R$4=Assumptions!$B$50,Assumptions!$B$49,0)</f>
        <v>0</v>
      </c>
      <c r="S60" s="23" t="n">
        <f aca="false">IF(S$4=Assumptions!$B$48,Assumptions!$B$47,0)+IF(S$4=Assumptions!$B$50,Assumptions!$B$49,0)</f>
        <v>0</v>
      </c>
      <c r="T60" s="23" t="n">
        <f aca="false">IF(T$4=Assumptions!$B$48,Assumptions!$B$47,0)+IF(T$4=Assumptions!$B$50,Assumptions!$B$49,0)</f>
        <v>0</v>
      </c>
      <c r="U60" s="23" t="n">
        <f aca="false">IF(U$4=Assumptions!$B$48,Assumptions!$B$47,0)+IF(U$4=Assumptions!$B$50,Assumptions!$B$49,0)</f>
        <v>0</v>
      </c>
      <c r="V60" s="23" t="n">
        <f aca="false">IF(V$4=Assumptions!$B$48,Assumptions!$B$47,0)+IF(V$4=Assumptions!$B$50,Assumptions!$B$49,0)</f>
        <v>0</v>
      </c>
      <c r="W60" s="23" t="n">
        <f aca="false">IF(W$4=Assumptions!$B$48,Assumptions!$B$47,0)+IF(W$4=Assumptions!$B$50,Assumptions!$B$49,0)</f>
        <v>0</v>
      </c>
      <c r="X60" s="23" t="n">
        <f aca="false">IF(X$4=Assumptions!$B$48,Assumptions!$B$47,0)+IF(X$4=Assumptions!$B$50,Assumptions!$B$49,0)</f>
        <v>5000000</v>
      </c>
      <c r="Y60" s="23" t="n">
        <f aca="false">IF(Y$4=Assumptions!$B$48,Assumptions!$B$47,0)+IF(Y$4=Assumptions!$B$50,Assumptions!$B$49,0)</f>
        <v>0</v>
      </c>
      <c r="Z60" s="23" t="n">
        <f aca="false">IF(Z$4=Assumptions!$B$48,Assumptions!$B$47,0)+IF(Z$4=Assumptions!$B$50,Assumptions!$B$49,0)</f>
        <v>0</v>
      </c>
      <c r="AA60" s="23" t="n">
        <f aca="false">IF(AA$4=Assumptions!$B$48,Assumptions!$B$47,0)+IF(AA$4=Assumptions!$B$50,Assumptions!$B$49,0)</f>
        <v>0</v>
      </c>
      <c r="AB60" s="23" t="n">
        <f aca="false">IF(AB$4=Assumptions!$B$48,Assumptions!$B$47,0)+IF(AB$4=Assumptions!$B$50,Assumptions!$B$49,0)</f>
        <v>0</v>
      </c>
      <c r="AC60" s="23" t="n">
        <f aca="false">IF(AC$4=Assumptions!$B$48,Assumptions!$B$47,0)+IF(AC$4=Assumptions!$B$50,Assumptions!$B$49,0)</f>
        <v>0</v>
      </c>
      <c r="AD60" s="23" t="n">
        <f aca="false">IF(AD$4=Assumptions!$B$48,Assumptions!$B$47,0)+IF(AD$4=Assumptions!$B$50,Assumptions!$B$49,0)</f>
        <v>0</v>
      </c>
      <c r="AE60" s="23" t="n">
        <f aca="false">IF(AE$4=Assumptions!$B$48,Assumptions!$B$47,0)+IF(AE$4=Assumptions!$B$50,Assumptions!$B$49,0)</f>
        <v>0</v>
      </c>
      <c r="AF60" s="23" t="n">
        <f aca="false">IF(AF$4=Assumptions!$B$48,Assumptions!$B$47,0)+IF(AF$4=Assumptions!$B$50,Assumptions!$B$49,0)</f>
        <v>0</v>
      </c>
      <c r="AG60" s="23" t="n">
        <f aca="false">IF(AG$4=Assumptions!$B$48,Assumptions!$B$47,0)+IF(AG$4=Assumptions!$B$50,Assumptions!$B$49,0)</f>
        <v>0</v>
      </c>
      <c r="AH60" s="23" t="n">
        <f aca="false">IF(AH$4=Assumptions!$B$48,Assumptions!$B$47,0)+IF(AH$4=Assumptions!$B$50,Assumptions!$B$49,0)</f>
        <v>0</v>
      </c>
      <c r="AI60" s="23" t="n">
        <f aca="false">IF(AI$4=Assumptions!$B$48,Assumptions!$B$47,0)+IF(AI$4=Assumptions!$B$50,Assumptions!$B$49,0)</f>
        <v>0</v>
      </c>
      <c r="AJ60" s="23" t="n">
        <f aca="false">IF(AJ$4=Assumptions!$B$48,Assumptions!$B$47,0)+IF(AJ$4=Assumptions!$B$50,Assumptions!$B$49,0)</f>
        <v>0</v>
      </c>
      <c r="AK60" s="23" t="n">
        <f aca="false">IF(AK$4=Assumptions!$B$48,Assumptions!$B$47,0)+IF(AK$4=Assumptions!$B$50,Assumptions!$B$49,0)</f>
        <v>0</v>
      </c>
      <c r="AL60" s="23" t="n">
        <f aca="false">IF(AL$4=Assumptions!$B$48,Assumptions!$B$47,0)+IF(AL$4=Assumptions!$B$50,Assumptions!$B$49,0)</f>
        <v>0</v>
      </c>
      <c r="AM60" s="23" t="n">
        <f aca="false">IF(AM$4=Assumptions!$B$48,Assumptions!$B$47,0)+IF(AM$4=Assumptions!$B$50,Assumptions!$B$49,0)</f>
        <v>0</v>
      </c>
      <c r="AN60" s="23" t="n">
        <f aca="false">IF(AN$4=Assumptions!$B$48,Assumptions!$B$47,0)+IF(AN$4=Assumptions!$B$50,Assumptions!$B$49,0)</f>
        <v>0</v>
      </c>
      <c r="AO60" s="23" t="n">
        <f aca="false">IF(AO$4=Assumptions!$B$48,Assumptions!$B$47,0)+IF(AO$4=Assumptions!$B$50,Assumptions!$B$49,0)</f>
        <v>0</v>
      </c>
      <c r="AP60" s="23" t="n">
        <f aca="false">IF(AP$4=Assumptions!$B$48,Assumptions!$B$47,0)+IF(AP$4=Assumptions!$B$50,Assumptions!$B$49,0)</f>
        <v>0</v>
      </c>
      <c r="AQ60" s="23" t="n">
        <f aca="false">IF(AQ$4=Assumptions!$B$48,Assumptions!$B$47,0)+IF(AQ$4=Assumptions!$B$50,Assumptions!$B$49,0)</f>
        <v>0</v>
      </c>
      <c r="AR60" s="23" t="n">
        <f aca="false">IF(AR$4=Assumptions!$B$48,Assumptions!$B$47,0)+IF(AR$4=Assumptions!$B$50,Assumptions!$B$49,0)</f>
        <v>0</v>
      </c>
      <c r="AS60" s="23" t="n">
        <f aca="false">IF(AS$4=Assumptions!$B$48,Assumptions!$B$47,0)+IF(AS$4=Assumptions!$B$50,Assumptions!$B$49,0)</f>
        <v>0</v>
      </c>
      <c r="AT60" s="23" t="n">
        <f aca="false">IF(AT$4=Assumptions!$B$48,Assumptions!$B$47,0)+IF(AT$4=Assumptions!$B$50,Assumptions!$B$49,0)</f>
        <v>0</v>
      </c>
      <c r="AU60" s="23" t="n">
        <f aca="false">IF(AU$4=Assumptions!$B$48,Assumptions!$B$47,0)+IF(AU$4=Assumptions!$B$50,Assumptions!$B$49,0)</f>
        <v>0</v>
      </c>
      <c r="AV60" s="23" t="n">
        <f aca="false">IF(AV$4=Assumptions!$B$48,Assumptions!$B$47,0)+IF(AV$4=Assumptions!$B$50,Assumptions!$B$49,0)</f>
        <v>0</v>
      </c>
      <c r="AW60" s="23" t="n">
        <f aca="false">IF(AW$4=Assumptions!$B$48,Assumptions!$B$47,0)+IF(AW$4=Assumptions!$B$50,Assumptions!$B$49,0)</f>
        <v>0</v>
      </c>
      <c r="AX60" s="23" t="n">
        <f aca="false">IF(AX$4=Assumptions!$B$48,Assumptions!$B$47,0)+IF(AX$4=Assumptions!$B$50,Assumptions!$B$49,0)</f>
        <v>0</v>
      </c>
      <c r="AY60" s="23" t="n">
        <f aca="false">IF(AY$4=Assumptions!$B$48,Assumptions!$B$47,0)+IF(AY$4=Assumptions!$B$50,Assumptions!$B$49,0)</f>
        <v>0</v>
      </c>
      <c r="AZ60" s="23" t="n">
        <f aca="false">IF(AZ$4=Assumptions!$B$48,Assumptions!$B$47,0)+IF(AZ$4=Assumptions!$B$50,Assumptions!$B$49,0)</f>
        <v>0</v>
      </c>
      <c r="BA60" s="23" t="n">
        <f aca="false">IF(BA$4=Assumptions!$B$48,Assumptions!$B$47,0)+IF(BA$4=Assumptions!$B$50,Assumptions!$B$49,0)</f>
        <v>0</v>
      </c>
      <c r="BB60" s="23" t="n">
        <f aca="false">IF(BB$4=Assumptions!$B$48,Assumptions!$B$47,0)+IF(BB$4=Assumptions!$B$50,Assumptions!$B$49,0)</f>
        <v>0</v>
      </c>
      <c r="BC60" s="23" t="n">
        <f aca="false">IF(BC$4=Assumptions!$B$48,Assumptions!$B$47,0)+IF(BC$4=Assumptions!$B$50,Assumptions!$B$49,0)</f>
        <v>0</v>
      </c>
      <c r="BD60" s="23" t="n">
        <f aca="false">IF(BD$4=Assumptions!$B$48,Assumptions!$B$47,0)+IF(BD$4=Assumptions!$B$50,Assumptions!$B$49,0)</f>
        <v>0</v>
      </c>
      <c r="BE60" s="23" t="n">
        <f aca="false">IF(BE$4=Assumptions!$B$48,Assumptions!$B$47,0)+IF(BE$4=Assumptions!$B$50,Assumptions!$B$49,0)</f>
        <v>0</v>
      </c>
      <c r="BF60" s="23" t="n">
        <f aca="false">IF(BF$4=Assumptions!$B$48,Assumptions!$B$47,0)+IF(BF$4=Assumptions!$B$50,Assumptions!$B$49,0)</f>
        <v>0</v>
      </c>
      <c r="BG60" s="23" t="n">
        <f aca="false">IF(BG$4=Assumptions!$B$48,Assumptions!$B$47,0)+IF(BG$4=Assumptions!$B$50,Assumptions!$B$49,0)</f>
        <v>0</v>
      </c>
      <c r="BH60" s="23" t="n">
        <f aca="false">IF(BH$4=Assumptions!$B$48,Assumptions!$B$47,0)+IF(BH$4=Assumptions!$B$50,Assumptions!$B$49,0)</f>
        <v>0</v>
      </c>
      <c r="BI60" s="23" t="n">
        <f aca="false">IF(BI$4=Assumptions!$B$48,Assumptions!$B$47,0)+IF(BI$4=Assumptions!$B$50,Assumptions!$B$49,0)</f>
        <v>0</v>
      </c>
      <c r="BJ60" s="23" t="n">
        <f aca="false">IF(BJ$4=Assumptions!$B$48,Assumptions!$B$47,0)+IF(BJ$4=Assumptions!$B$50,Assumptions!$B$49,0)</f>
        <v>0</v>
      </c>
    </row>
    <row r="61" customFormat="false" ht="15" hidden="false" customHeight="false" outlineLevel="0" collapsed="false">
      <c r="A61" s="4" t="s">
        <v>219</v>
      </c>
      <c r="B61" s="16" t="s">
        <v>194</v>
      </c>
      <c r="C61" s="19" t="n">
        <f aca="false">C59+C60</f>
        <v>3872041.66666667</v>
      </c>
      <c r="D61" s="19" t="n">
        <f aca="false">C61+D59+D60</f>
        <v>3744083.33333333</v>
      </c>
      <c r="E61" s="19" t="n">
        <f aca="false">D61+E59+E60</f>
        <v>3616125</v>
      </c>
      <c r="F61" s="19" t="n">
        <f aca="false">E61+F59+F60</f>
        <v>3488166.66666667</v>
      </c>
      <c r="G61" s="19" t="n">
        <f aca="false">F61+G59+G60</f>
        <v>3360208.33333333</v>
      </c>
      <c r="H61" s="19" t="n">
        <f aca="false">G61+H59+H60</f>
        <v>3232250</v>
      </c>
      <c r="I61" s="19" t="n">
        <f aca="false">H61+I59+I60</f>
        <v>3104291.66666667</v>
      </c>
      <c r="J61" s="19" t="n">
        <f aca="false">I61+J59+J60</f>
        <v>2976333.33333333</v>
      </c>
      <c r="K61" s="19" t="n">
        <f aca="false">J61+K59+K60</f>
        <v>2848375</v>
      </c>
      <c r="L61" s="19" t="n">
        <f aca="false">K61+L59+L60</f>
        <v>2720416.66666667</v>
      </c>
      <c r="M61" s="19" t="n">
        <f aca="false">L61+M59+M60</f>
        <v>2570562.22976095</v>
      </c>
      <c r="N61" s="19" t="n">
        <f aca="false">M61+N59+N60</f>
        <v>2424905.82241515</v>
      </c>
      <c r="O61" s="19" t="n">
        <f aca="false">N61+O59+O60</f>
        <v>2225992.79295025</v>
      </c>
      <c r="P61" s="19" t="n">
        <f aca="false">O61+P59+P60</f>
        <v>2023757.1045615</v>
      </c>
      <c r="Q61" s="19" t="n">
        <f aca="false">P61+Q59+Q60</f>
        <v>1803495.04173734</v>
      </c>
      <c r="R61" s="19" t="n">
        <f aca="false">Q61+R59+R60</f>
        <v>1589635.41401755</v>
      </c>
      <c r="S61" s="19" t="n">
        <f aca="false">R61+S59+S60</f>
        <v>1425552.08143144</v>
      </c>
      <c r="T61" s="19" t="n">
        <f aca="false">S61+T59+T60</f>
        <v>1244031.29317423</v>
      </c>
      <c r="U61" s="19" t="n">
        <f aca="false">T61+U59+U60</f>
        <v>1097171.42390952</v>
      </c>
      <c r="V61" s="19" t="n">
        <f aca="false">U61+V59+V60</f>
        <v>938677.583772371</v>
      </c>
      <c r="W61" s="19" t="n">
        <f aca="false">V61+W59+W60</f>
        <v>795682.156280007</v>
      </c>
      <c r="X61" s="19" t="n">
        <f aca="false">W61+X59+X60</f>
        <v>5649243.96433538</v>
      </c>
      <c r="Y61" s="19" t="n">
        <f aca="false">X61+Y59+Y60</f>
        <v>5538543.97159753</v>
      </c>
      <c r="Z61" s="19" t="n">
        <f aca="false">Y61+Z59+Z60</f>
        <v>5378952.84183583</v>
      </c>
      <c r="AA61" s="19" t="n">
        <f aca="false">Z61+AA59+AA60</f>
        <v>5316354.53238569</v>
      </c>
      <c r="AB61" s="19" t="n">
        <f aca="false">AA61+AB59+AB60</f>
        <v>5157295.44952271</v>
      </c>
      <c r="AC61" s="19" t="n">
        <f aca="false">AB61+AC59+AC60</f>
        <v>4986387.67813409</v>
      </c>
      <c r="AD61" s="19" t="n">
        <f aca="false">AC61+AD59+AD60</f>
        <v>4807205.12177135</v>
      </c>
      <c r="AE61" s="19" t="n">
        <f aca="false">AD61+AE59+AE60</f>
        <v>4769177.50846954</v>
      </c>
      <c r="AF61" s="19" t="n">
        <f aca="false">AE61+AF59+AF60</f>
        <v>4638624.19472961</v>
      </c>
      <c r="AG61" s="19" t="n">
        <f aca="false">AF61+AG59+AG60</f>
        <v>4611269.54357295</v>
      </c>
      <c r="AH61" s="19" t="n">
        <f aca="false">AG61+AH59+AH60</f>
        <v>4516877.33147794</v>
      </c>
      <c r="AI61" s="19" t="n">
        <f aca="false">AH61+AI59+AI60</f>
        <v>4435405.77503917</v>
      </c>
      <c r="AJ61" s="19" t="n">
        <f aca="false">AI61+AJ59+AJ60</f>
        <v>4330044.84067935</v>
      </c>
      <c r="AK61" s="19" t="n">
        <f aca="false">AJ61+AK59+AK60</f>
        <v>4282949.44017167</v>
      </c>
      <c r="AL61" s="19" t="n">
        <f aca="false">AK61+AL59+AL60</f>
        <v>4132357.7993269</v>
      </c>
      <c r="AM61" s="19" t="n">
        <f aca="false">AL61+AM59+AM60</f>
        <v>4253145.23830496</v>
      </c>
      <c r="AN61" s="19" t="n">
        <f aca="false">AM61+AN59+AN60</f>
        <v>4176086.85007379</v>
      </c>
      <c r="AO61" s="19" t="n">
        <f aca="false">AN61+AO59+AO60</f>
        <v>4066088.40530827</v>
      </c>
      <c r="AP61" s="19" t="n">
        <f aca="false">AO61+AP59+AP60</f>
        <v>3934785.11897122</v>
      </c>
      <c r="AQ61" s="19" t="n">
        <f aca="false">AP61+AQ59+AQ60</f>
        <v>4006404.20571532</v>
      </c>
      <c r="AR61" s="19" t="n">
        <f aca="false">AQ61+AR59+AR60</f>
        <v>3928692.25671779</v>
      </c>
      <c r="AS61" s="19" t="n">
        <f aca="false">AR61+AS59+AS60</f>
        <v>4001619.69427652</v>
      </c>
      <c r="AT61" s="19" t="n">
        <f aca="false">AS61+AT59+AT60</f>
        <v>3963126.84468054</v>
      </c>
      <c r="AU61" s="19" t="n">
        <f aca="false">AT61+AU59+AU60</f>
        <v>3929387.23866694</v>
      </c>
      <c r="AV61" s="19" t="n">
        <f aca="false">AU61+AV59+AV60</f>
        <v>3854968.92909708</v>
      </c>
      <c r="AW61" s="19" t="n">
        <f aca="false">AV61+AW59+AW60</f>
        <v>3845364.58490991</v>
      </c>
      <c r="AX61" s="19" t="n">
        <f aca="false">AW61+AX59+AX60</f>
        <v>3702015.22399399</v>
      </c>
      <c r="AY61" s="19" t="n">
        <f aca="false">AX61+AY59+AY60</f>
        <v>3909089.06173885</v>
      </c>
      <c r="AZ61" s="19" t="n">
        <f aca="false">AY61+AZ59+AZ60</f>
        <v>3869862.39373344</v>
      </c>
      <c r="BA61" s="19" t="n">
        <f aca="false">AZ61+BA59+BA60</f>
        <v>3786627.46358128</v>
      </c>
      <c r="BB61" s="19" t="n">
        <f aca="false">BA61+BB59+BB60</f>
        <v>3675153.60845369</v>
      </c>
      <c r="BC61" s="19" t="n">
        <f aca="false">BB61+BC59+BC60</f>
        <v>3788869.85434906</v>
      </c>
      <c r="BD61" s="19" t="n">
        <f aca="false">BC61+BD59+BD60</f>
        <v>3729001.44301029</v>
      </c>
      <c r="BE61" s="19" t="n">
        <f aca="false">BD61+BE59+BE60</f>
        <v>3831710.02347933</v>
      </c>
      <c r="BF61" s="19" t="n">
        <f aca="false">BE61+BF59+BF60</f>
        <v>3806670.8242755</v>
      </c>
      <c r="BG61" s="19" t="n">
        <f aca="false">BF61+BG59+BG60</f>
        <v>3783380.24566452</v>
      </c>
      <c r="BH61" s="19" t="n">
        <f aca="false">BG61+BH59+BH60</f>
        <v>3713234.51576494</v>
      </c>
      <c r="BI61" s="19" t="n">
        <f aca="false">BH61+BI59+BI60</f>
        <v>3710311.78458007</v>
      </c>
      <c r="BJ61" s="19" t="n">
        <f aca="false">BI61+BJ59+BJ60</f>
        <v>3562516.13371136</v>
      </c>
    </row>
    <row r="62" customFormat="false" ht="15" hidden="false" customHeight="false" outlineLevel="0" collapsed="false">
      <c r="A62" s="6" t="s">
        <v>220</v>
      </c>
      <c r="B62" s="16" t="s">
        <v>194</v>
      </c>
      <c r="C62" s="23" t="n">
        <f aca="false">C53</f>
        <v>-111291.666666667</v>
      </c>
      <c r="D62" s="23" t="n">
        <f aca="false">C62+D53</f>
        <v>-222583.333333333</v>
      </c>
      <c r="E62" s="23" t="n">
        <f aca="false">D62+E53</f>
        <v>-333875</v>
      </c>
      <c r="F62" s="23" t="n">
        <f aca="false">E62+F53</f>
        <v>-445166.666666667</v>
      </c>
      <c r="G62" s="23" t="n">
        <f aca="false">F62+G53</f>
        <v>-556458.333333333</v>
      </c>
      <c r="H62" s="23" t="n">
        <f aca="false">G62+H53</f>
        <v>-667750</v>
      </c>
      <c r="I62" s="23" t="n">
        <f aca="false">H62+I53</f>
        <v>-779041.666666667</v>
      </c>
      <c r="J62" s="23" t="n">
        <f aca="false">I62+J53</f>
        <v>-890333.333333333</v>
      </c>
      <c r="K62" s="23" t="n">
        <f aca="false">J62+K53</f>
        <v>-1001625</v>
      </c>
      <c r="L62" s="23" t="n">
        <f aca="false">K62+L53</f>
        <v>-1112916.66666667</v>
      </c>
      <c r="M62" s="23" t="n">
        <f aca="false">L62+M53</f>
        <v>-1215454.79584695</v>
      </c>
      <c r="N62" s="23" t="n">
        <f aca="false">M62+N53</f>
        <v>-1307418.2046408</v>
      </c>
      <c r="O62" s="23" t="n">
        <f aca="false">N62+O53</f>
        <v>-1472620.49221825</v>
      </c>
      <c r="P62" s="23" t="n">
        <f aca="false">O62+P53</f>
        <v>-1631346.38103913</v>
      </c>
      <c r="Q62" s="23" t="n">
        <f aca="false">P62+Q53</f>
        <v>-1775662.59691099</v>
      </c>
      <c r="R62" s="23" t="n">
        <f aca="false">Q62+R53</f>
        <v>-1902576.71191957</v>
      </c>
      <c r="S62" s="23" t="n">
        <f aca="false">R62+S53</f>
        <v>-2024178.99591183</v>
      </c>
      <c r="T62" s="23" t="n">
        <f aca="false">S62+T53</f>
        <v>-2131936.49428525</v>
      </c>
      <c r="U62" s="23" t="n">
        <f aca="false">T62+U53</f>
        <v>-2233635.85840081</v>
      </c>
      <c r="V62" s="23" t="n">
        <f aca="false">U62+V53</f>
        <v>-2322712.10408584</v>
      </c>
      <c r="W62" s="23" t="n">
        <f aca="false">V62+W53</f>
        <v>-2400174.52016364</v>
      </c>
      <c r="X62" s="23" t="n">
        <f aca="false">W62+X53</f>
        <v>-2460560.58368842</v>
      </c>
      <c r="Y62" s="23" t="n">
        <f aca="false">X62+Y53</f>
        <v>-2510598.33719372</v>
      </c>
      <c r="Z62" s="23" t="n">
        <f aca="false">Y62+Z53</f>
        <v>-2528961.46316539</v>
      </c>
      <c r="AA62" s="23" t="n">
        <f aca="false">Z62+AA53</f>
        <v>-2629487.41374638</v>
      </c>
      <c r="AB62" s="23" t="n">
        <f aca="false">AA62+AB53</f>
        <v>-2718704.05050594</v>
      </c>
      <c r="AC62" s="23" t="n">
        <f aca="false">AB62+AC53</f>
        <v>-2788341.22497421</v>
      </c>
      <c r="AD62" s="23" t="n">
        <f aca="false">AC62+AD53</f>
        <v>-2828544.94297565</v>
      </c>
      <c r="AE62" s="23" t="n">
        <f aca="false">AD62+AE53</f>
        <v>-2878833.87541126</v>
      </c>
      <c r="AF62" s="23" t="n">
        <f aca="false">AE62+AF53</f>
        <v>-2910024.52938775</v>
      </c>
      <c r="AG62" s="23" t="n">
        <f aca="false">AF62+AG53</f>
        <v>-2950795.57045643</v>
      </c>
      <c r="AH62" s="23" t="n">
        <f aca="false">AG62+AH53</f>
        <v>-2980934.37835227</v>
      </c>
      <c r="AI62" s="23" t="n">
        <f aca="false">AH62+AI53</f>
        <v>-3001291.05950242</v>
      </c>
      <c r="AJ62" s="23" t="n">
        <f aca="false">AI62+AJ53</f>
        <v>-2999923.10168617</v>
      </c>
      <c r="AK62" s="23" t="n">
        <f aca="false">AJ62+AK53</f>
        <v>-2989838.94226909</v>
      </c>
      <c r="AL62" s="23" t="n">
        <f aca="false">AK62+AL53</f>
        <v>-2931051.22244986</v>
      </c>
      <c r="AM62" s="23" t="n">
        <f aca="false">AL62+AM53</f>
        <v>-2965749.99293668</v>
      </c>
      <c r="AN62" s="23" t="n">
        <f aca="false">AM62+AN53</f>
        <v>-2993999.98802296</v>
      </c>
      <c r="AO62" s="23" t="n">
        <f aca="false">AN62+AO53</f>
        <v>-3001734.81465225</v>
      </c>
      <c r="AP62" s="23" t="n">
        <f aca="false">AO62+AP53</f>
        <v>-2973984.94228454</v>
      </c>
      <c r="AQ62" s="23" t="n">
        <f aca="false">AP62+AQ53</f>
        <v>-2970687.05117039</v>
      </c>
      <c r="AR62" s="23" t="n">
        <f aca="false">AQ62+AR53</f>
        <v>-2947148.3713281</v>
      </c>
      <c r="AS62" s="23" t="n">
        <f aca="false">AR62+AS53</f>
        <v>-2950112.08052125</v>
      </c>
      <c r="AT62" s="23" t="n">
        <f aca="false">AS62+AT53</f>
        <v>-2949164.40971637</v>
      </c>
      <c r="AU62" s="23" t="n">
        <f aca="false">AT62+AU53</f>
        <v>-2944618.09559081</v>
      </c>
      <c r="AV62" s="23" t="n">
        <f aca="false">AU62+AV53</f>
        <v>-2920590.75262977</v>
      </c>
      <c r="AW62" s="23" t="n">
        <f aca="false">AV62+AW53</f>
        <v>-2893356.89829467</v>
      </c>
      <c r="AX62" s="23" t="n">
        <f aca="false">AW62+AX53</f>
        <v>-2813739.06299714</v>
      </c>
      <c r="AY62" s="23" t="n">
        <f aca="false">AX62+AY53</f>
        <v>-2821579.48452781</v>
      </c>
      <c r="AZ62" s="23" t="n">
        <f aca="false">AY62+AZ53</f>
        <v>-2827047.5341679</v>
      </c>
      <c r="BA62" s="23" t="n">
        <f aca="false">AZ62+BA53</f>
        <v>-2813479.4943076</v>
      </c>
      <c r="BB62" s="23" t="n">
        <f aca="false">BA62+BB53</f>
        <v>-2763879.4016244</v>
      </c>
      <c r="BC62" s="23" t="n">
        <f aca="false">BB62+BC53</f>
        <v>-2746252.65172605</v>
      </c>
      <c r="BD62" s="23" t="n">
        <f aca="false">BC62+BD53</f>
        <v>-2709690.75098864</v>
      </c>
      <c r="BE62" s="23" t="n">
        <f aca="false">BD62+BE53</f>
        <v>-2705856.49590506</v>
      </c>
      <c r="BF62" s="23" t="n">
        <f aca="false">BE62+BF53</f>
        <v>-2700583.32453358</v>
      </c>
      <c r="BG62" s="23" t="n">
        <f aca="false">BF62+BG53</f>
        <v>-2693986.28626833</v>
      </c>
      <c r="BH62" s="23" t="n">
        <f aca="false">BG62+BH53</f>
        <v>-2668733.59720875</v>
      </c>
      <c r="BI62" s="23" t="n">
        <f aca="false">BH62+BI53</f>
        <v>-2642301.29853678</v>
      </c>
      <c r="BJ62" s="23" t="n">
        <f aca="false">BI62+BJ53</f>
        <v>-2562131.06784338</v>
      </c>
    </row>
    <row r="64" customFormat="false" ht="15" hidden="false" customHeight="false" outlineLevel="0" collapsed="false">
      <c r="A64" s="27" t="s">
        <v>221</v>
      </c>
    </row>
    <row r="65" customFormat="false" ht="15" hidden="false" customHeight="false" outlineLevel="0" collapsed="false">
      <c r="A65" s="6" t="s">
        <v>222</v>
      </c>
      <c r="B65" s="16" t="s">
        <v>191</v>
      </c>
      <c r="C65" s="29" t="n">
        <f aca="false">C17/Assumptions!$B$52</f>
        <v>0</v>
      </c>
      <c r="D65" s="29" t="n">
        <f aca="false">D17/Assumptions!$B$52</f>
        <v>0</v>
      </c>
      <c r="E65" s="29" t="n">
        <f aca="false">E17/Assumptions!$B$52</f>
        <v>0</v>
      </c>
      <c r="F65" s="29" t="n">
        <f aca="false">F17/Assumptions!$B$52</f>
        <v>0</v>
      </c>
      <c r="G65" s="29" t="n">
        <f aca="false">G17/Assumptions!$B$52</f>
        <v>0</v>
      </c>
      <c r="H65" s="29" t="n">
        <f aca="false">H17/Assumptions!$B$52</f>
        <v>0</v>
      </c>
      <c r="I65" s="29" t="n">
        <f aca="false">I17/Assumptions!$B$52</f>
        <v>0</v>
      </c>
      <c r="J65" s="29" t="n">
        <f aca="false">J17/Assumptions!$B$52</f>
        <v>0</v>
      </c>
      <c r="K65" s="29" t="n">
        <f aca="false">K17/Assumptions!$B$52</f>
        <v>0</v>
      </c>
      <c r="L65" s="29" t="n">
        <f aca="false">L17/Assumptions!$B$52</f>
        <v>0</v>
      </c>
      <c r="M65" s="29" t="n">
        <f aca="false">M17/Assumptions!$B$52</f>
        <v>2132.14894321805</v>
      </c>
      <c r="N65" s="29" t="n">
        <f aca="false">N17/Assumptions!$B$52</f>
        <v>4707.89377002117</v>
      </c>
      <c r="O65" s="29" t="n">
        <f aca="false">O17/Assumptions!$B$52</f>
        <v>5603.71349552441</v>
      </c>
      <c r="P65" s="29" t="n">
        <f aca="false">P17/Assumptions!$B$52</f>
        <v>7181.20679879734</v>
      </c>
      <c r="Q65" s="29" t="n">
        <f aca="false">Q17/Assumptions!$B$52</f>
        <v>10472.8133410799</v>
      </c>
      <c r="R65" s="29" t="n">
        <f aca="false">R17/Assumptions!$B$52</f>
        <v>14468.8490938484</v>
      </c>
      <c r="S65" s="29" t="n">
        <f aca="false">S17/Assumptions!$B$52</f>
        <v>15619.8492062277</v>
      </c>
      <c r="T65" s="29" t="n">
        <f aca="false">T17/Assumptions!$B$52</f>
        <v>18783.4508146445</v>
      </c>
      <c r="U65" s="29" t="n">
        <f aca="false">U17/Assumptions!$B$52</f>
        <v>19990.6557012889</v>
      </c>
      <c r="V65" s="29" t="n">
        <f aca="false">V17/Assumptions!$B$52</f>
        <v>22747.2053392715</v>
      </c>
      <c r="W65" s="29" t="n">
        <f aca="false">W17/Assumptions!$B$52</f>
        <v>25283.353437346</v>
      </c>
      <c r="X65" s="29" t="n">
        <f aca="false">X17/Assumptions!$B$52</f>
        <v>29070.2340312128</v>
      </c>
      <c r="Y65" s="29" t="n">
        <f aca="false">Y17/Assumptions!$B$52</f>
        <v>31330.0266803034</v>
      </c>
      <c r="Z65" s="29" t="n">
        <f aca="false">Z17/Assumptions!$B$52</f>
        <v>38420.5067281175</v>
      </c>
      <c r="AA65" s="29" t="n">
        <f aca="false">AA17/Assumptions!$B$52</f>
        <v>35986.5587868447</v>
      </c>
      <c r="AB65" s="29" t="n">
        <f aca="false">AB17/Assumptions!$B$52</f>
        <v>39894.7964253577</v>
      </c>
      <c r="AC65" s="29" t="n">
        <f aca="false">AC17/Assumptions!$B$52</f>
        <v>45779.5248797007</v>
      </c>
      <c r="AD65" s="29" t="n">
        <f aca="false">AD17/Assumptions!$B$52</f>
        <v>54188.0846427066</v>
      </c>
      <c r="AE65" s="29" t="n">
        <f aca="false">AE17/Assumptions!$B$52</f>
        <v>52465.830427947</v>
      </c>
      <c r="AF65" s="29" t="n">
        <f aca="false">AF17/Assumptions!$B$52</f>
        <v>58184.2728640974</v>
      </c>
      <c r="AG65" s="29" t="n">
        <f aca="false">AG17/Assumptions!$B$52</f>
        <v>56941.0928591421</v>
      </c>
      <c r="AH65" s="29" t="n">
        <f aca="false">AH17/Assumptions!$B$52</f>
        <v>60895.6087313834</v>
      </c>
      <c r="AI65" s="29" t="n">
        <f aca="false">AI17/Assumptions!$B$52</f>
        <v>64533.9389722019</v>
      </c>
      <c r="AJ65" s="29" t="n">
        <f aca="false">AJ17/Assumptions!$B$52</f>
        <v>71454.0677777305</v>
      </c>
      <c r="AK65" s="29" t="n">
        <f aca="false">AK17/Assumptions!$B$52</f>
        <v>74695.9415229619</v>
      </c>
      <c r="AL65" s="29" t="n">
        <f aca="false">AL17/Assumptions!$B$52</f>
        <v>89330.4007584747</v>
      </c>
      <c r="AM65" s="29" t="n">
        <f aca="false">AM17/Assumptions!$B$52</f>
        <v>76401.6564231896</v>
      </c>
      <c r="AN65" s="29" t="n">
        <f aca="false">AN17/Assumptions!$B$52</f>
        <v>78800.1915440241</v>
      </c>
      <c r="AO65" s="29" t="n">
        <f aca="false">AO17/Assumptions!$B$52</f>
        <v>85270.4740897266</v>
      </c>
      <c r="AP65" s="29" t="n">
        <f aca="false">AP17/Assumptions!$B$52</f>
        <v>96148.4138786195</v>
      </c>
      <c r="AQ65" s="29" t="n">
        <f aca="false">AQ17/Assumptions!$B$52</f>
        <v>89373.9448019634</v>
      </c>
      <c r="AR65" s="29" t="n">
        <f aca="false">AR17/Assumptions!$B$52</f>
        <v>95742.1755044492</v>
      </c>
      <c r="AS65" s="29" t="n">
        <f aca="false">AS17/Assumptions!$B$52</f>
        <v>88205.0848800709</v>
      </c>
      <c r="AT65" s="29" t="n">
        <f aca="false">AT17/Assumptions!$B$52</f>
        <v>89659.8699692547</v>
      </c>
      <c r="AU65" s="29" t="n">
        <f aca="false">AU17/Assumptions!$B$52</f>
        <v>90998.3368650441</v>
      </c>
      <c r="AV65" s="29" t="n">
        <f aca="false">AV17/Assumptions!$B$52</f>
        <v>97083.9851122963</v>
      </c>
      <c r="AW65" s="29" t="n">
        <f aca="false">AW17/Assumptions!$B$52</f>
        <v>98276.6038140404</v>
      </c>
      <c r="AX65" s="29" t="n">
        <f aca="false">AX17/Assumptions!$B$52</f>
        <v>114279.945887767</v>
      </c>
      <c r="AY65" s="29" t="n">
        <f aca="false">AY17/Assumptions!$B$52</f>
        <v>95364.2261288941</v>
      </c>
      <c r="AZ65" s="29" t="n">
        <f aca="false">AZ17/Assumptions!$B$52</f>
        <v>96246.5978887768</v>
      </c>
      <c r="BA65" s="29" t="n">
        <f aca="false">BA17/Assumptions!$B$52</f>
        <v>102166.756945351</v>
      </c>
      <c r="BB65" s="29" t="n">
        <f aca="false">BB17/Assumptions!$B$52</f>
        <v>113248.277614865</v>
      </c>
      <c r="BC65" s="29" t="n">
        <f aca="false">BC17/Assumptions!$B$52</f>
        <v>103676.339457832</v>
      </c>
      <c r="BD65" s="29" t="n">
        <f aca="false">BD17/Assumptions!$B$52</f>
        <v>109558.955739353</v>
      </c>
      <c r="BE65" s="29" t="n">
        <f aca="false">BE17/Assumptions!$B$52</f>
        <v>99706.4647935187</v>
      </c>
      <c r="BF65" s="29" t="n">
        <f aca="false">BF17/Assumptions!$B$52</f>
        <v>100241.650319152</v>
      </c>
      <c r="BG65" s="29" t="n">
        <f aca="false">BG17/Assumptions!$B$52</f>
        <v>100734.044772802</v>
      </c>
      <c r="BH65" s="29" t="n">
        <f aca="false">BH17/Assumptions!$B$52</f>
        <v>106512.704778607</v>
      </c>
      <c r="BI65" s="29" t="n">
        <f aca="false">BI17/Assumptions!$B$52</f>
        <v>106951.444680135</v>
      </c>
      <c r="BJ65" s="29" t="n">
        <f aca="false">BJ17/Assumptions!$B$52</f>
        <v>123458.370607413</v>
      </c>
    </row>
    <row r="66" customFormat="false" ht="15" hidden="false" customHeight="false" outlineLevel="0" collapsed="false">
      <c r="A66" s="6" t="s">
        <v>223</v>
      </c>
      <c r="B66" s="16" t="s">
        <v>194</v>
      </c>
      <c r="C66" s="31" t="n">
        <f aca="false">IFERROR(C32/C17,0)</f>
        <v>0</v>
      </c>
      <c r="D66" s="31" t="n">
        <f aca="false">IFERROR(D32/D17,0)</f>
        <v>0</v>
      </c>
      <c r="E66" s="31" t="n">
        <f aca="false">IFERROR(E32/E17,0)</f>
        <v>0</v>
      </c>
      <c r="F66" s="31" t="n">
        <f aca="false">IFERROR(F32/F17,0)</f>
        <v>0</v>
      </c>
      <c r="G66" s="31" t="n">
        <f aca="false">IFERROR(G32/G17,0)</f>
        <v>0</v>
      </c>
      <c r="H66" s="31" t="n">
        <f aca="false">IFERROR(H32/H17,0)</f>
        <v>0</v>
      </c>
      <c r="I66" s="31" t="n">
        <f aca="false">IFERROR(I32/I17,0)</f>
        <v>0</v>
      </c>
      <c r="J66" s="31" t="n">
        <f aca="false">IFERROR(J32/J17,0)</f>
        <v>0</v>
      </c>
      <c r="K66" s="31" t="n">
        <f aca="false">IFERROR(K32/K17,0)</f>
        <v>0</v>
      </c>
      <c r="L66" s="31" t="n">
        <f aca="false">IFERROR(L32/L17,0)</f>
        <v>0</v>
      </c>
      <c r="M66" s="31" t="n">
        <f aca="false">IFERROR(M32/M17,0)</f>
        <v>9.2</v>
      </c>
      <c r="N66" s="31" t="n">
        <f aca="false">IFERROR(N32/N17,0)</f>
        <v>9.2</v>
      </c>
      <c r="O66" s="31" t="n">
        <f aca="false">IFERROR(O32/O17,0)</f>
        <v>9.2</v>
      </c>
      <c r="P66" s="31" t="n">
        <f aca="false">IFERROR(P32/P17,0)</f>
        <v>9.2</v>
      </c>
      <c r="Q66" s="31" t="n">
        <f aca="false">IFERROR(Q32/Q17,0)</f>
        <v>9.50701211810591</v>
      </c>
      <c r="R66" s="31" t="n">
        <f aca="false">IFERROR(R32/R17,0)</f>
        <v>9.66934138870745</v>
      </c>
      <c r="S66" s="31" t="n">
        <f aca="false">IFERROR(S32/S17,0)</f>
        <v>9.76947783080232</v>
      </c>
      <c r="T66" s="31" t="n">
        <f aca="false">IFERROR(T32/T17,0)</f>
        <v>9.83721954290745</v>
      </c>
      <c r="U66" s="31" t="n">
        <f aca="false">IFERROR(U32/U17,0)</f>
        <v>9.96265693789503</v>
      </c>
      <c r="V66" s="31" t="n">
        <f aca="false">IFERROR(V32/V17,0)</f>
        <v>10.0488788122438</v>
      </c>
      <c r="W66" s="31" t="n">
        <f aca="false">IFERROR(W32/W17,0)</f>
        <v>10.1116006271368</v>
      </c>
      <c r="X66" s="31" t="n">
        <f aca="false">IFERROR(X32/X17,0)</f>
        <v>10.159132324604</v>
      </c>
      <c r="Y66" s="31" t="n">
        <f aca="false">IFERROR(Y32/Y17,0)</f>
        <v>10.196280922188</v>
      </c>
      <c r="Z66" s="31" t="n">
        <f aca="false">IFERROR(Z32/Z17,0)</f>
        <v>10.2260204792761</v>
      </c>
      <c r="AA66" s="31" t="n">
        <f aca="false">IFERROR(AA32/AA17,0)</f>
        <v>9.82542312206792</v>
      </c>
      <c r="AB66" s="31" t="n">
        <f aca="false">IFERROR(AB32/AB17,0)</f>
        <v>9.53220590120497</v>
      </c>
      <c r="AC66" s="31" t="n">
        <f aca="false">IFERROR(AC32/AC17,0)</f>
        <v>9.30898045526891</v>
      </c>
      <c r="AD66" s="31" t="n">
        <f aca="false">IFERROR(AD32/AD17,0)</f>
        <v>9.13390146829908</v>
      </c>
      <c r="AE66" s="31" t="n">
        <f aca="false">IFERROR(AE32/AE17,0)</f>
        <v>8.99334930058782</v>
      </c>
      <c r="AF66" s="31" t="n">
        <f aca="false">IFERROR(AF32/AF17,0)</f>
        <v>8.87839078577228</v>
      </c>
      <c r="AG66" s="31" t="n">
        <f aca="false">IFERROR(AG32/AG17,0)</f>
        <v>8.67302170637435</v>
      </c>
      <c r="AH66" s="31" t="n">
        <f aca="false">IFERROR(AH32/AH17,0)</f>
        <v>8.50967973574893</v>
      </c>
      <c r="AI66" s="31" t="n">
        <f aca="false">IFERROR(AI32/AI17,0)</f>
        <v>8.37707952688524</v>
      </c>
      <c r="AJ66" s="31" t="n">
        <f aca="false">IFERROR(AJ32/AJ17,0)</f>
        <v>8.26763641968561</v>
      </c>
      <c r="AK66" s="31" t="n">
        <f aca="false">IFERROR(AK32/AK17,0)</f>
        <v>8.17606398298179</v>
      </c>
      <c r="AL66" s="31" t="n">
        <f aca="false">IFERROR(AL32/AL17,0)</f>
        <v>8.09856445105527</v>
      </c>
      <c r="AM66" s="31" t="n">
        <f aca="false">IFERROR(AM32/AM17,0)</f>
        <v>8.03233888037548</v>
      </c>
      <c r="AN66" s="31" t="n">
        <f aca="false">IFERROR(AN32/AN17,0)</f>
        <v>7.97527881345109</v>
      </c>
      <c r="AO66" s="31" t="n">
        <f aca="false">IFERROR(AO32/AO17,0)</f>
        <v>7.92576554892101</v>
      </c>
      <c r="AP66" s="31" t="n">
        <f aca="false">IFERROR(AP32/AP17,0)</f>
        <v>7.88253561384349</v>
      </c>
      <c r="AQ66" s="31" t="n">
        <f aca="false">IFERROR(AQ32/AQ17,0)</f>
        <v>7.84458829234411</v>
      </c>
      <c r="AR66" s="31" t="n">
        <f aca="false">IFERROR(AR32/AR17,0)</f>
        <v>7.8111206309366</v>
      </c>
      <c r="AS66" s="31" t="n">
        <f aca="false">IFERROR(AS32/AS17,0)</f>
        <v>7.78148084449762</v>
      </c>
      <c r="AT66" s="31" t="n">
        <f aca="false">IFERROR(AT32/AT17,0)</f>
        <v>7.75513431860428</v>
      </c>
      <c r="AU66" s="31" t="n">
        <f aca="false">IFERROR(AU32/AU17,0)</f>
        <v>7.73163840607217</v>
      </c>
      <c r="AV66" s="31" t="n">
        <f aca="false">IFERROR(AV32/AV17,0)</f>
        <v>7.71062347284757</v>
      </c>
      <c r="AW66" s="31" t="n">
        <f aca="false">IFERROR(AW32/AW17,0)</f>
        <v>7.69177845655439</v>
      </c>
      <c r="AX66" s="31" t="n">
        <f aca="false">IFERROR(AX32/AX17,0)</f>
        <v>7.6748397314606</v>
      </c>
      <c r="AY66" s="31" t="n">
        <f aca="false">IFERROR(AY32/AY17,0)</f>
        <v>7.65958242852527</v>
      </c>
      <c r="AZ66" s="31" t="n">
        <f aca="false">IFERROR(AZ32/AZ17,0)</f>
        <v>7.64581360079095</v>
      </c>
      <c r="BA66" s="31" t="n">
        <f aca="false">IFERROR(BA32/BA17,0)</f>
        <v>7.63336679150358</v>
      </c>
      <c r="BB66" s="31" t="n">
        <f aca="false">IFERROR(BB32/BB17,0)</f>
        <v>7.62209767964469</v>
      </c>
      <c r="BC66" s="31" t="n">
        <f aca="false">IFERROR(BC32/BC17,0)</f>
        <v>7.61188056101697</v>
      </c>
      <c r="BD66" s="31" t="n">
        <f aca="false">IFERROR(BD32/BD17,0)</f>
        <v>7.60260548314837</v>
      </c>
      <c r="BE66" s="31" t="n">
        <f aca="false">IFERROR(BE32/BE17,0)</f>
        <v>7.59417589610071</v>
      </c>
      <c r="BF66" s="31" t="n">
        <f aca="false">IFERROR(BF32/BF17,0)</f>
        <v>7.58650671355401</v>
      </c>
      <c r="BG66" s="31" t="n">
        <f aca="false">IFERROR(BG32/BG17,0)</f>
        <v>7.57952270256534</v>
      </c>
      <c r="BH66" s="31" t="n">
        <f aca="false">IFERROR(BH32/BH17,0)</f>
        <v>7.57315713845249</v>
      </c>
      <c r="BI66" s="31" t="n">
        <f aca="false">IFERROR(BI32/BI17,0)</f>
        <v>7.56735067493425</v>
      </c>
      <c r="BJ66" s="31" t="n">
        <f aca="false">IFERROR(BJ32/BJ17,0)</f>
        <v>7.56205039011605</v>
      </c>
    </row>
    <row r="67" customFormat="false" ht="15" hidden="false" customHeight="false" outlineLevel="0" collapsed="false">
      <c r="A67" s="6" t="s">
        <v>224</v>
      </c>
      <c r="B67" s="16" t="s">
        <v>194</v>
      </c>
      <c r="C67" s="31" t="n">
        <f aca="false">IFERROR(C42/C17,0)</f>
        <v>0</v>
      </c>
      <c r="D67" s="31" t="n">
        <f aca="false">IFERROR(D42/D17,0)</f>
        <v>0</v>
      </c>
      <c r="E67" s="31" t="n">
        <f aca="false">IFERROR(E42/E17,0)</f>
        <v>0</v>
      </c>
      <c r="F67" s="31" t="n">
        <f aca="false">IFERROR(F42/F17,0)</f>
        <v>0</v>
      </c>
      <c r="G67" s="31" t="n">
        <f aca="false">IFERROR(G42/G17,0)</f>
        <v>0</v>
      </c>
      <c r="H67" s="31" t="n">
        <f aca="false">IFERROR(H42/H17,0)</f>
        <v>0</v>
      </c>
      <c r="I67" s="31" t="n">
        <f aca="false">IFERROR(I42/I17,0)</f>
        <v>0</v>
      </c>
      <c r="J67" s="31" t="n">
        <f aca="false">IFERROR(J42/J17,0)</f>
        <v>0</v>
      </c>
      <c r="K67" s="31" t="n">
        <f aca="false">IFERROR(K42/K17,0)</f>
        <v>0</v>
      </c>
      <c r="L67" s="31" t="n">
        <f aca="false">IFERROR(L42/L17,0)</f>
        <v>0</v>
      </c>
      <c r="M67" s="31" t="n">
        <f aca="false">IFERROR(M42/M17,0)</f>
        <v>5.474</v>
      </c>
      <c r="N67" s="31" t="n">
        <f aca="false">IFERROR(N42/N17,0)</f>
        <v>5.474</v>
      </c>
      <c r="O67" s="31" t="n">
        <f aca="false">IFERROR(O42/O17,0)</f>
        <v>5.474</v>
      </c>
      <c r="P67" s="31" t="n">
        <f aca="false">IFERROR(P42/P17,0)</f>
        <v>5.474</v>
      </c>
      <c r="Q67" s="31" t="n">
        <f aca="false">IFERROR(Q42/Q17,0)</f>
        <v>5.58807088181349</v>
      </c>
      <c r="R67" s="31" t="n">
        <f aca="false">IFERROR(R42/R17,0)</f>
        <v>5.64838460218355</v>
      </c>
      <c r="S67" s="31" t="n">
        <f aca="false">IFERROR(S42/S17,0)</f>
        <v>5.68559046989293</v>
      </c>
      <c r="T67" s="31" t="n">
        <f aca="false">IFERROR(T42/T17,0)</f>
        <v>5.71076001982165</v>
      </c>
      <c r="U67" s="31" t="n">
        <f aca="false">IFERROR(U42/U17,0)</f>
        <v>5.76996042620639</v>
      </c>
      <c r="V67" s="31" t="n">
        <f aca="false">IFERROR(V42/V17,0)</f>
        <v>5.81065299640212</v>
      </c>
      <c r="W67" s="31" t="n">
        <f aca="false">IFERROR(W42/W17,0)</f>
        <v>5.84025467085671</v>
      </c>
      <c r="X67" s="31" t="n">
        <f aca="false">IFERROR(X42/X17,0)</f>
        <v>5.86268734180377</v>
      </c>
      <c r="Y67" s="31" t="n">
        <f aca="false">IFERROR(Y42/Y17,0)</f>
        <v>5.88021968990314</v>
      </c>
      <c r="Z67" s="31" t="n">
        <f aca="false">IFERROR(Z42/Z17,0)</f>
        <v>5.89425532788407</v>
      </c>
      <c r="AA67" s="31" t="n">
        <f aca="false">IFERROR(AA42/AA17,0)</f>
        <v>5.65392763532956</v>
      </c>
      <c r="AB67" s="31" t="n">
        <f aca="false">IFERROR(AB42/AB17,0)</f>
        <v>5.47801978961051</v>
      </c>
      <c r="AC67" s="31" t="n">
        <f aca="false">IFERROR(AC42/AC17,0)</f>
        <v>5.34410164118552</v>
      </c>
      <c r="AD67" s="31" t="n">
        <f aca="false">IFERROR(AD42/AD17,0)</f>
        <v>5.23906767579324</v>
      </c>
      <c r="AE67" s="31" t="n">
        <f aca="false">IFERROR(AE42/AE17,0)</f>
        <v>5.15474715409787</v>
      </c>
      <c r="AF67" s="31" t="n">
        <f aca="false">IFERROR(AF42/AF17,0)</f>
        <v>5.08578086136531</v>
      </c>
      <c r="AG67" s="31" t="n">
        <f aca="false">IFERROR(AG42/AG17,0)</f>
        <v>4.97248292386741</v>
      </c>
      <c r="AH67" s="31" t="n">
        <f aca="false">IFERROR(AH42/AH17,0)</f>
        <v>4.88237048613844</v>
      </c>
      <c r="AI67" s="31" t="n">
        <f aca="false">IFERROR(AI42/AI17,0)</f>
        <v>4.80921765212814</v>
      </c>
      <c r="AJ67" s="31" t="n">
        <f aca="false">IFERROR(AJ42/AJ17,0)</f>
        <v>4.74884011936892</v>
      </c>
      <c r="AK67" s="31" t="n">
        <f aca="false">IFERROR(AK42/AK17,0)</f>
        <v>4.69832147147599</v>
      </c>
      <c r="AL67" s="31" t="n">
        <f aca="false">IFERROR(AL42/AL17,0)</f>
        <v>4.65556655846733</v>
      </c>
      <c r="AM67" s="31" t="n">
        <f aca="false">IFERROR(AM42/AM17,0)</f>
        <v>4.61903126021484</v>
      </c>
      <c r="AN67" s="31" t="n">
        <f aca="false">IFERROR(AN42/AN17,0)</f>
        <v>4.58755238367229</v>
      </c>
      <c r="AO67" s="31" t="n">
        <f aca="false">IFERROR(AO42/AO17,0)</f>
        <v>4.56023692427358</v>
      </c>
      <c r="AP67" s="31" t="n">
        <f aca="false">IFERROR(AP42/AP17,0)</f>
        <v>4.53638784973514</v>
      </c>
      <c r="AQ67" s="31" t="n">
        <f aca="false">IFERROR(AQ42/AQ17,0)</f>
        <v>4.51545308549481</v>
      </c>
      <c r="AR67" s="31" t="n">
        <f aca="false">IFERROR(AR42/AR17,0)</f>
        <v>4.4969896584713</v>
      </c>
      <c r="AS67" s="31" t="n">
        <f aca="false">IFERROR(AS42/AS17,0)</f>
        <v>4.48063799208969</v>
      </c>
      <c r="AT67" s="31" t="n">
        <f aca="false">IFERROR(AT42/AT17,0)</f>
        <v>4.46610315046357</v>
      </c>
      <c r="AU67" s="31" t="n">
        <f aca="false">IFERROR(AU42/AU17,0)</f>
        <v>4.45314093415855</v>
      </c>
      <c r="AV67" s="31" t="n">
        <f aca="false">IFERROR(AV42/AV17,0)</f>
        <v>4.44154742359706</v>
      </c>
      <c r="AW67" s="31" t="n">
        <f aca="false">IFERROR(AW42/AW17,0)</f>
        <v>4.43115101200291</v>
      </c>
      <c r="AX67" s="31" t="n">
        <f aca="false">IFERROR(AX42/AX17,0)</f>
        <v>4.42180626243011</v>
      </c>
      <c r="AY67" s="31" t="n">
        <f aca="false">IFERROR(AY42/AY17,0)</f>
        <v>4.41338911920962</v>
      </c>
      <c r="AZ67" s="31" t="n">
        <f aca="false">IFERROR(AZ42/AZ17,0)</f>
        <v>4.40579313743556</v>
      </c>
      <c r="BA67" s="31" t="n">
        <f aca="false">IFERROR(BA42/BA17,0)</f>
        <v>4.39892648630763</v>
      </c>
      <c r="BB67" s="31" t="n">
        <f aca="false">IFERROR(BB42/BB17,0)</f>
        <v>4.39270954685994</v>
      </c>
      <c r="BC67" s="31" t="n">
        <f aca="false">IFERROR(BC42/BC17,0)</f>
        <v>4.38707297064757</v>
      </c>
      <c r="BD67" s="31" t="n">
        <f aca="false">IFERROR(BD42/BD17,0)</f>
        <v>4.38195609913154</v>
      </c>
      <c r="BE67" s="31" t="n">
        <f aca="false">IFERROR(BE42/BE17,0)</f>
        <v>4.37730566767779</v>
      </c>
      <c r="BF67" s="31" t="n">
        <f aca="false">IFERROR(BF42/BF17,0)</f>
        <v>4.3730747358969</v>
      </c>
      <c r="BG67" s="31" t="n">
        <f aca="false">IFERROR(BG42/BG17,0)</f>
        <v>4.36922179930685</v>
      </c>
      <c r="BH67" s="31" t="n">
        <f aca="false">IFERROR(BH42/BH17,0)</f>
        <v>4.3657100472597</v>
      </c>
      <c r="BI67" s="31" t="n">
        <f aca="false">IFERROR(BI42/BI17,0)</f>
        <v>4.36250673962107</v>
      </c>
      <c r="BJ67" s="31" t="n">
        <f aca="false">IFERROR(BJ42/BJ17,0)</f>
        <v>4.35958268045981</v>
      </c>
    </row>
    <row r="68" customFormat="false" ht="15" hidden="false" customHeight="false" outlineLevel="0" collapsed="false">
      <c r="A68" s="6" t="s">
        <v>225</v>
      </c>
      <c r="B68" s="16" t="s">
        <v>62</v>
      </c>
      <c r="C68" s="15" t="n">
        <f aca="false">IFERROR(C32/C26,0)</f>
        <v>0</v>
      </c>
      <c r="D68" s="15" t="n">
        <f aca="false">IFERROR(D32/D26,0)</f>
        <v>0</v>
      </c>
      <c r="E68" s="15" t="n">
        <f aca="false">IFERROR(E32/E26,0)</f>
        <v>0</v>
      </c>
      <c r="F68" s="15" t="n">
        <f aca="false">IFERROR(F32/F26,0)</f>
        <v>0</v>
      </c>
      <c r="G68" s="15" t="n">
        <f aca="false">IFERROR(G32/G26,0)</f>
        <v>0</v>
      </c>
      <c r="H68" s="15" t="n">
        <f aca="false">IFERROR(H32/H26,0)</f>
        <v>0</v>
      </c>
      <c r="I68" s="15" t="n">
        <f aca="false">IFERROR(I32/I26,0)</f>
        <v>0</v>
      </c>
      <c r="J68" s="15" t="n">
        <f aca="false">IFERROR(J32/J26,0)</f>
        <v>0</v>
      </c>
      <c r="K68" s="15" t="n">
        <f aca="false">IFERROR(K32/K26,0)</f>
        <v>0</v>
      </c>
      <c r="L68" s="15" t="n">
        <f aca="false">IFERROR(L32/L26,0)</f>
        <v>0</v>
      </c>
      <c r="M68" s="15" t="n">
        <f aca="false">IFERROR(M32/M26,0)</f>
        <v>0.04</v>
      </c>
      <c r="N68" s="15" t="n">
        <f aca="false">IFERROR(N32/N26,0)</f>
        <v>0.04</v>
      </c>
      <c r="O68" s="15" t="n">
        <f aca="false">IFERROR(O32/O26,0)</f>
        <v>0.04</v>
      </c>
      <c r="P68" s="15" t="n">
        <f aca="false">IFERROR(P32/P26,0)</f>
        <v>0.04</v>
      </c>
      <c r="Q68" s="15" t="n">
        <f aca="false">IFERROR(Q32/Q26,0)</f>
        <v>0.0392997973246016</v>
      </c>
      <c r="R68" s="15" t="n">
        <f aca="false">IFERROR(R32/R26,0)</f>
        <v>0.0389567306522779</v>
      </c>
      <c r="S68" s="15" t="n">
        <f aca="false">IFERROR(S32/S26,0)</f>
        <v>0.0387536498616248</v>
      </c>
      <c r="T68" s="15" t="n">
        <f aca="false">IFERROR(T32/T26,0)</f>
        <v>0.0386197794267779</v>
      </c>
      <c r="U68" s="15" t="n">
        <f aca="false">IFERROR(U32/U26,0)</f>
        <v>0.0384943298290141</v>
      </c>
      <c r="V68" s="15" t="n">
        <f aca="false">IFERROR(V32/V26,0)</f>
        <v>0.0384103735458986</v>
      </c>
      <c r="W68" s="15" t="n">
        <f aca="false">IFERROR(W32/W26,0)</f>
        <v>0.0383504243946272</v>
      </c>
      <c r="X68" s="15" t="n">
        <f aca="false">IFERROR(X32/X26,0)</f>
        <v>0.0383056094788676</v>
      </c>
      <c r="Y68" s="15" t="n">
        <f aca="false">IFERROR(Y32/Y26,0)</f>
        <v>0.0382709470625377</v>
      </c>
      <c r="Z68" s="15" t="n">
        <f aca="false">IFERROR(Z32/Z26,0)</f>
        <v>0.0382434240949181</v>
      </c>
      <c r="AA68" s="15" t="n">
        <f aca="false">IFERROR(AA32/AA26,0)</f>
        <v>0.0381570242814657</v>
      </c>
      <c r="AB68" s="15" t="n">
        <f aca="false">IFERROR(AB32/AB26,0)</f>
        <v>0.0380894540479762</v>
      </c>
      <c r="AC68" s="15" t="n">
        <f aca="false">IFERROR(AC32/AC26,0)</f>
        <v>0.0380353323384538</v>
      </c>
      <c r="AD68" s="15" t="n">
        <f aca="false">IFERROR(AD32/AD26,0)</f>
        <v>0.0379911471629821</v>
      </c>
      <c r="AE68" s="15" t="n">
        <f aca="false">IFERROR(AE32/AE26,0)</f>
        <v>0.0379545087272837</v>
      </c>
      <c r="AF68" s="15" t="n">
        <f aca="false">IFERROR(AF32/AF26,0)</f>
        <v>0.0379237342084424</v>
      </c>
      <c r="AG68" s="15" t="n">
        <f aca="false">IFERROR(AG32/AG26,0)</f>
        <v>0.037968241896949</v>
      </c>
      <c r="AH68" s="15" t="n">
        <f aca="false">IFERROR(AH32/AH26,0)</f>
        <v>0.0380052546481765</v>
      </c>
      <c r="AI68" s="15" t="n">
        <f aca="false">IFERROR(AI32/AI26,0)</f>
        <v>0.0380364187570405</v>
      </c>
      <c r="AJ68" s="15" t="n">
        <f aca="false">IFERROR(AJ32/AJ26,0)</f>
        <v>0.0380629336193325</v>
      </c>
      <c r="AK68" s="15" t="n">
        <f aca="false">IFERROR(AK32/AK26,0)</f>
        <v>0.0380856938333124</v>
      </c>
      <c r="AL68" s="15" t="n">
        <f aca="false">IFERROR(AL32/AL26,0)</f>
        <v>0.0381053803110175</v>
      </c>
      <c r="AM68" s="15" t="n">
        <f aca="false">IFERROR(AM32/AM26,0)</f>
        <v>0.0381225205409289</v>
      </c>
      <c r="AN68" s="15" t="n">
        <f aca="false">IFERROR(AN32/AN26,0)</f>
        <v>0.038137529536688</v>
      </c>
      <c r="AO68" s="15" t="n">
        <f aca="false">IFERROR(AO32/AO26,0)</f>
        <v>0.0381507383274659</v>
      </c>
      <c r="AP68" s="15" t="n">
        <f aca="false">IFERROR(AP32/AP26,0)</f>
        <v>0.038162414198792</v>
      </c>
      <c r="AQ68" s="15" t="n">
        <f aca="false">IFERROR(AQ32/AQ26,0)</f>
        <v>0.0381727753425327</v>
      </c>
      <c r="AR68" s="15" t="n">
        <f aca="false">IFERROR(AR32/AR26,0)</f>
        <v>0.0381820016385903</v>
      </c>
      <c r="AS68" s="15" t="n">
        <f aca="false">IFERROR(AS32/AS26,0)</f>
        <v>0.0381902427099496</v>
      </c>
      <c r="AT68" s="15" t="n">
        <f aca="false">IFERROR(AT32/AT26,0)</f>
        <v>0.0381976240232499</v>
      </c>
      <c r="AU68" s="15" t="n">
        <f aca="false">IFERROR(AU32/AU26,0)</f>
        <v>0.0382042515668803</v>
      </c>
      <c r="AV68" s="15" t="n">
        <f aca="false">IFERROR(AV32/AV26,0)</f>
        <v>0.0382102154793153</v>
      </c>
      <c r="AW68" s="15" t="n">
        <f aca="false">IFERROR(AW32/AW26,0)</f>
        <v>0.0382155928928341</v>
      </c>
      <c r="AX68" s="15" t="n">
        <f aca="false">IFERROR(AX32/AX26,0)</f>
        <v>0.038220450183907</v>
      </c>
      <c r="AY68" s="15" t="n">
        <f aca="false">IFERROR(AY32/AY26,0)</f>
        <v>0.0382248447700327</v>
      </c>
      <c r="AZ68" s="15" t="n">
        <f aca="false">IFERROR(AZ32/AZ26,0)</f>
        <v>0.0382288265564041</v>
      </c>
      <c r="BA68" s="15" t="n">
        <f aca="false">IFERROR(BA32/BA26,0)</f>
        <v>0.0382324391096983</v>
      </c>
      <c r="BB68" s="15" t="n">
        <f aca="false">IFERROR(BB32/BB26,0)</f>
        <v>0.0382357206173812</v>
      </c>
      <c r="BC68" s="15" t="n">
        <f aca="false">IFERROR(BC32/BC26,0)</f>
        <v>0.0382387046770593</v>
      </c>
      <c r="BD68" s="15" t="n">
        <f aca="false">IFERROR(BD32/BD26,0)</f>
        <v>0.0382414209501421</v>
      </c>
      <c r="BE68" s="15" t="n">
        <f aca="false">IFERROR(BE32/BE26,0)</f>
        <v>0.0382438957064007</v>
      </c>
      <c r="BF68" s="15" t="n">
        <f aca="false">IFERROR(BF32/BF26,0)</f>
        <v>0.0382461522802115</v>
      </c>
      <c r="BG68" s="15" t="n">
        <f aca="false">IFERROR(BG32/BG26,0)</f>
        <v>0.0382482114548599</v>
      </c>
      <c r="BH68" s="15" t="n">
        <f aca="false">IFERROR(BH32/BH26,0)</f>
        <v>0.0382500917878916</v>
      </c>
      <c r="BI68" s="15" t="n">
        <f aca="false">IFERROR(BI32/BI26,0)</f>
        <v>0.0382518098878831</v>
      </c>
      <c r="BJ68" s="15" t="n">
        <f aca="false">IFERROR(BJ32/BJ26,0)</f>
        <v>0.0382533806509574</v>
      </c>
    </row>
    <row r="69" customFormat="false" ht="15" hidden="false" customHeight="false" outlineLevel="0" collapsed="false">
      <c r="A69" s="6" t="s">
        <v>226</v>
      </c>
      <c r="B69" s="16" t="s">
        <v>227</v>
      </c>
      <c r="C69" s="25" t="n">
        <f aca="false">IF(C53&gt;0,1,0)</f>
        <v>0</v>
      </c>
      <c r="D69" s="25" t="n">
        <f aca="false">IF(D53&gt;0,1,0)</f>
        <v>0</v>
      </c>
      <c r="E69" s="25" t="n">
        <f aca="false">IF(E53&gt;0,1,0)</f>
        <v>0</v>
      </c>
      <c r="F69" s="25" t="n">
        <f aca="false">IF(F53&gt;0,1,0)</f>
        <v>0</v>
      </c>
      <c r="G69" s="25" t="n">
        <f aca="false">IF(G53&gt;0,1,0)</f>
        <v>0</v>
      </c>
      <c r="H69" s="25" t="n">
        <f aca="false">IF(H53&gt;0,1,0)</f>
        <v>0</v>
      </c>
      <c r="I69" s="25" t="n">
        <f aca="false">IF(I53&gt;0,1,0)</f>
        <v>0</v>
      </c>
      <c r="J69" s="25" t="n">
        <f aca="false">IF(J53&gt;0,1,0)</f>
        <v>0</v>
      </c>
      <c r="K69" s="25" t="n">
        <f aca="false">IF(K53&gt;0,1,0)</f>
        <v>0</v>
      </c>
      <c r="L69" s="25" t="n">
        <f aca="false">IF(L53&gt;0,1,0)</f>
        <v>0</v>
      </c>
      <c r="M69" s="25" t="n">
        <f aca="false">IF(M53&gt;0,1,0)</f>
        <v>0</v>
      </c>
      <c r="N69" s="25" t="n">
        <f aca="false">IF(N53&gt;0,1,0)</f>
        <v>0</v>
      </c>
      <c r="O69" s="25" t="n">
        <f aca="false">IF(O53&gt;0,1,0)</f>
        <v>0</v>
      </c>
      <c r="P69" s="25" t="n">
        <f aca="false">IF(P53&gt;0,1,0)</f>
        <v>0</v>
      </c>
      <c r="Q69" s="25" t="n">
        <f aca="false">IF(Q53&gt;0,1,0)</f>
        <v>0</v>
      </c>
      <c r="R69" s="25" t="n">
        <f aca="false">IF(R53&gt;0,1,0)</f>
        <v>0</v>
      </c>
      <c r="S69" s="25" t="n">
        <f aca="false">IF(S53&gt;0,1,0)</f>
        <v>0</v>
      </c>
      <c r="T69" s="25" t="n">
        <f aca="false">IF(T53&gt;0,1,0)</f>
        <v>0</v>
      </c>
      <c r="U69" s="25" t="n">
        <f aca="false">IF(U53&gt;0,1,0)</f>
        <v>0</v>
      </c>
      <c r="V69" s="25" t="n">
        <f aca="false">IF(V53&gt;0,1,0)</f>
        <v>0</v>
      </c>
      <c r="W69" s="25" t="n">
        <f aca="false">IF(W53&gt;0,1,0)</f>
        <v>0</v>
      </c>
      <c r="X69" s="25" t="n">
        <f aca="false">IF(X53&gt;0,1,0)</f>
        <v>0</v>
      </c>
      <c r="Y69" s="25" t="n">
        <f aca="false">IF(Y53&gt;0,1,0)</f>
        <v>0</v>
      </c>
      <c r="Z69" s="25" t="n">
        <f aca="false">IF(Z53&gt;0,1,0)</f>
        <v>0</v>
      </c>
      <c r="AA69" s="25" t="n">
        <f aca="false">IF(AA53&gt;0,1,0)</f>
        <v>0</v>
      </c>
      <c r="AB69" s="25" t="n">
        <f aca="false">IF(AB53&gt;0,1,0)</f>
        <v>0</v>
      </c>
      <c r="AC69" s="25" t="n">
        <f aca="false">IF(AC53&gt;0,1,0)</f>
        <v>0</v>
      </c>
      <c r="AD69" s="25" t="n">
        <f aca="false">IF(AD53&gt;0,1,0)</f>
        <v>0</v>
      </c>
      <c r="AE69" s="25" t="n">
        <f aca="false">IF(AE53&gt;0,1,0)</f>
        <v>0</v>
      </c>
      <c r="AF69" s="25" t="n">
        <f aca="false">IF(AF53&gt;0,1,0)</f>
        <v>0</v>
      </c>
      <c r="AG69" s="25" t="n">
        <f aca="false">IF(AG53&gt;0,1,0)</f>
        <v>0</v>
      </c>
      <c r="AH69" s="25" t="n">
        <f aca="false">IF(AH53&gt;0,1,0)</f>
        <v>0</v>
      </c>
      <c r="AI69" s="25" t="n">
        <f aca="false">IF(AI53&gt;0,1,0)</f>
        <v>0</v>
      </c>
      <c r="AJ69" s="25" t="n">
        <f aca="false">IF(AJ53&gt;0,1,0)</f>
        <v>1</v>
      </c>
      <c r="AK69" s="25" t="n">
        <f aca="false">IF(AK53&gt;0,1,0)</f>
        <v>1</v>
      </c>
      <c r="AL69" s="25" t="n">
        <f aca="false">IF(AL53&gt;0,1,0)</f>
        <v>1</v>
      </c>
      <c r="AM69" s="25" t="n">
        <f aca="false">IF(AM53&gt;0,1,0)</f>
        <v>0</v>
      </c>
      <c r="AN69" s="25" t="n">
        <f aca="false">IF(AN53&gt;0,1,0)</f>
        <v>0</v>
      </c>
      <c r="AO69" s="25" t="n">
        <f aca="false">IF(AO53&gt;0,1,0)</f>
        <v>0</v>
      </c>
      <c r="AP69" s="25" t="n">
        <f aca="false">IF(AP53&gt;0,1,0)</f>
        <v>1</v>
      </c>
      <c r="AQ69" s="25" t="n">
        <f aca="false">IF(AQ53&gt;0,1,0)</f>
        <v>1</v>
      </c>
      <c r="AR69" s="25" t="n">
        <f aca="false">IF(AR53&gt;0,1,0)</f>
        <v>1</v>
      </c>
      <c r="AS69" s="25" t="n">
        <f aca="false">IF(AS53&gt;0,1,0)</f>
        <v>0</v>
      </c>
      <c r="AT69" s="25" t="n">
        <f aca="false">IF(AT53&gt;0,1,0)</f>
        <v>1</v>
      </c>
      <c r="AU69" s="25" t="n">
        <f aca="false">IF(AU53&gt;0,1,0)</f>
        <v>1</v>
      </c>
      <c r="AV69" s="25" t="n">
        <f aca="false">IF(AV53&gt;0,1,0)</f>
        <v>1</v>
      </c>
      <c r="AW69" s="25" t="n">
        <f aca="false">IF(AW53&gt;0,1,0)</f>
        <v>1</v>
      </c>
      <c r="AX69" s="25" t="n">
        <f aca="false">IF(AX53&gt;0,1,0)</f>
        <v>1</v>
      </c>
      <c r="AY69" s="25" t="n">
        <f aca="false">IF(AY53&gt;0,1,0)</f>
        <v>0</v>
      </c>
      <c r="AZ69" s="25" t="n">
        <f aca="false">IF(AZ53&gt;0,1,0)</f>
        <v>0</v>
      </c>
      <c r="BA69" s="25" t="n">
        <f aca="false">IF(BA53&gt;0,1,0)</f>
        <v>1</v>
      </c>
      <c r="BB69" s="25" t="n">
        <f aca="false">IF(BB53&gt;0,1,0)</f>
        <v>1</v>
      </c>
      <c r="BC69" s="25" t="n">
        <f aca="false">IF(BC53&gt;0,1,0)</f>
        <v>1</v>
      </c>
      <c r="BD69" s="25" t="n">
        <f aca="false">IF(BD53&gt;0,1,0)</f>
        <v>1</v>
      </c>
      <c r="BE69" s="25" t="n">
        <f aca="false">IF(BE53&gt;0,1,0)</f>
        <v>1</v>
      </c>
      <c r="BF69" s="25" t="n">
        <f aca="false">IF(BF53&gt;0,1,0)</f>
        <v>1</v>
      </c>
      <c r="BG69" s="25" t="n">
        <f aca="false">IF(BG53&gt;0,1,0)</f>
        <v>1</v>
      </c>
      <c r="BH69" s="25" t="n">
        <f aca="false">IF(BH53&gt;0,1,0)</f>
        <v>1</v>
      </c>
      <c r="BI69" s="25" t="n">
        <f aca="false">IF(BI53&gt;0,1,0)</f>
        <v>1</v>
      </c>
      <c r="BJ69" s="25" t="n">
        <f aca="false">IF(BJ53&gt;0,1,0)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9"/>
    <col collapsed="false" customWidth="true" hidden="false" outlineLevel="0" max="7" min="3" style="0" width="16"/>
  </cols>
  <sheetData>
    <row r="1" customFormat="false" ht="19.7" hidden="false" customHeight="false" outlineLevel="0" collapsed="false">
      <c r="A1" s="1" t="s">
        <v>228</v>
      </c>
    </row>
    <row r="2" customFormat="false" ht="15" hidden="false" customHeight="false" outlineLevel="0" collapsed="false">
      <c r="A2" s="4" t="str">
        <f aca="false">"Scenario: "&amp;Assumptions!C3</f>
        <v>Scenario: Base</v>
      </c>
    </row>
    <row r="3" customFormat="false" ht="15" hidden="false" customHeight="false" outlineLevel="0" collapsed="false">
      <c r="A3" s="32" t="s">
        <v>229</v>
      </c>
      <c r="C3" s="33" t="n">
        <v>1</v>
      </c>
      <c r="D3" s="33" t="n">
        <v>2</v>
      </c>
      <c r="E3" s="33" t="n">
        <v>3</v>
      </c>
      <c r="F3" s="33" t="n">
        <v>4</v>
      </c>
      <c r="G3" s="33" t="n">
        <v>5</v>
      </c>
    </row>
    <row r="4" customFormat="false" ht="15" hidden="false" customHeight="false" outlineLevel="0" collapsed="false">
      <c r="A4" s="8" t="s">
        <v>230</v>
      </c>
      <c r="B4" s="9" t="s">
        <v>124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75</v>
      </c>
    </row>
    <row r="5" customFormat="false" ht="15" hidden="false" customHeight="false" outlineLevel="0" collapsed="false">
      <c r="A5" s="4" t="s">
        <v>231</v>
      </c>
      <c r="B5" s="16" t="s">
        <v>191</v>
      </c>
      <c r="C5" s="34" t="n">
        <f aca="false">SUMIF(Monthly!$C$5:$BJ$5,C$3,Monthly!$C$17:$BJ$17)</f>
        <v>5130.03203492941</v>
      </c>
      <c r="D5" s="34" t="n">
        <f aca="false">SUMIF(Monthly!$C$5:$BJ$5,D$3,Monthly!$C$17:$BJ$17)</f>
        <v>179228.898500747</v>
      </c>
      <c r="E5" s="34" t="n">
        <f aca="false">SUMIF(Monthly!$C$5:$BJ$5,E$3,Monthly!$C$17:$BJ$17)</f>
        <v>528262.588986411</v>
      </c>
      <c r="F5" s="34" t="n">
        <f aca="false">SUMIF(Monthly!$C$5:$BJ$5,F$3,Monthly!$C$17:$BJ$17)</f>
        <v>825180.512077834</v>
      </c>
      <c r="G5" s="34" t="n">
        <f aca="false">SUMIF(Monthly!$C$5:$BJ$5,G$3,Monthly!$C$17:$BJ$17)</f>
        <v>943399.375295024</v>
      </c>
    </row>
    <row r="6" customFormat="false" ht="15" hidden="false" customHeight="false" outlineLevel="0" collapsed="false">
      <c r="A6" s="4" t="s">
        <v>232</v>
      </c>
      <c r="B6" s="16" t="s">
        <v>194</v>
      </c>
      <c r="C6" s="35" t="n">
        <f aca="false">SUMIF(Monthly!$C$5:$BJ$5,C$3,Monthly!$C$26:$BJ$26)</f>
        <v>1179907.36803376</v>
      </c>
      <c r="D6" s="35" t="n">
        <f aca="false">SUMIF(Monthly!$C$5:$BJ$5,D$3,Monthly!$C$26:$BJ$26)</f>
        <v>46431597.4969707</v>
      </c>
      <c r="E6" s="35" t="n">
        <f aca="false">SUMIF(Monthly!$C$5:$BJ$5,E$3,Monthly!$C$26:$BJ$26)</f>
        <v>120699365.676019</v>
      </c>
      <c r="F6" s="35" t="n">
        <f aca="false">SUMIF(Monthly!$C$5:$BJ$5,F$3,Monthly!$C$26:$BJ$26)</f>
        <v>168761147.389665</v>
      </c>
      <c r="G6" s="35" t="n">
        <f aca="false">SUMIF(Monthly!$C$5:$BJ$5,G$3,Monthly!$C$26:$BJ$26)</f>
        <v>187536615.120233</v>
      </c>
    </row>
    <row r="7" customFormat="false" ht="15" hidden="false" customHeight="false" outlineLevel="0" collapsed="false">
      <c r="A7" s="6" t="s">
        <v>233</v>
      </c>
      <c r="B7" s="16" t="s">
        <v>194</v>
      </c>
      <c r="C7" s="18" t="n">
        <f aca="false">SUMIF(Monthly!$C$5:$BJ$5,C$3,Monthly!$C$20:$BJ$20)</f>
        <v>1179907.36803376</v>
      </c>
      <c r="D7" s="18" t="n">
        <f aca="false">SUMIF(Monthly!$C$5:$BJ$5,D$3,Monthly!$C$20:$BJ$20)</f>
        <v>27139791.9227039</v>
      </c>
      <c r="E7" s="18" t="n">
        <f aca="false">SUMIF(Monthly!$C$5:$BJ$5,E$3,Monthly!$C$20:$BJ$20)</f>
        <v>45022614.0619005</v>
      </c>
      <c r="F7" s="18" t="n">
        <f aca="false">SUMIF(Monthly!$C$5:$BJ$5,F$3,Monthly!$C$20:$BJ$20)</f>
        <v>51601336.6770364</v>
      </c>
      <c r="G7" s="18" t="n">
        <f aca="false">SUMIF(Monthly!$C$5:$BJ$5,G$3,Monthly!$C$20:$BJ$20)</f>
        <v>54021513.4763146</v>
      </c>
    </row>
    <row r="8" customFormat="false" ht="15" hidden="false" customHeight="false" outlineLevel="0" collapsed="false">
      <c r="A8" s="6" t="s">
        <v>234</v>
      </c>
      <c r="B8" s="16" t="s">
        <v>194</v>
      </c>
      <c r="C8" s="18" t="n">
        <f aca="false">SUMIF(Monthly!$C$5:$BJ$5,C$3,Monthly!$C$21:$BJ$21)</f>
        <v>0</v>
      </c>
      <c r="D8" s="18" t="n">
        <f aca="false">SUMIF(Monthly!$C$5:$BJ$5,D$3,Monthly!$C$21:$BJ$21)</f>
        <v>14765833.9019834</v>
      </c>
      <c r="E8" s="18" t="n">
        <f aca="false">SUMIF(Monthly!$C$5:$BJ$5,E$3,Monthly!$C$21:$BJ$21)</f>
        <v>36992639.8147887</v>
      </c>
      <c r="F8" s="18" t="n">
        <f aca="false">SUMIF(Monthly!$C$5:$BJ$5,F$3,Monthly!$C$21:$BJ$21)</f>
        <v>45295771.0354788</v>
      </c>
      <c r="G8" s="18" t="n">
        <f aca="false">SUMIF(Monthly!$C$5:$BJ$5,G$3,Monthly!$C$21:$BJ$21)</f>
        <v>48350322.3089195</v>
      </c>
    </row>
    <row r="9" customFormat="false" ht="15" hidden="false" customHeight="false" outlineLevel="0" collapsed="false">
      <c r="A9" s="6" t="s">
        <v>235</v>
      </c>
      <c r="B9" s="16" t="s">
        <v>194</v>
      </c>
      <c r="C9" s="18" t="n">
        <f aca="false">SUMIF(Monthly!$C$5:$BJ$5,C$3,Monthly!$C$22:$BJ$22)</f>
        <v>0</v>
      </c>
      <c r="D9" s="18" t="n">
        <f aca="false">SUMIF(Monthly!$C$5:$BJ$5,D$3,Monthly!$C$22:$BJ$22)</f>
        <v>4525971.67228339</v>
      </c>
      <c r="E9" s="18" t="n">
        <f aca="false">SUMIF(Monthly!$C$5:$BJ$5,E$3,Monthly!$C$22:$BJ$22)</f>
        <v>22929900.0847629</v>
      </c>
      <c r="F9" s="18" t="n">
        <f aca="false">SUMIF(Monthly!$C$5:$BJ$5,F$3,Monthly!$C$22:$BJ$22)</f>
        <v>31286597.030952</v>
      </c>
      <c r="G9" s="18" t="n">
        <f aca="false">SUMIF(Monthly!$C$5:$BJ$5,G$3,Monthly!$C$22:$BJ$22)</f>
        <v>34360854.0335551</v>
      </c>
    </row>
    <row r="10" customFormat="false" ht="15" hidden="false" customHeight="false" outlineLevel="0" collapsed="false">
      <c r="A10" s="6" t="s">
        <v>236</v>
      </c>
      <c r="B10" s="16" t="s">
        <v>194</v>
      </c>
      <c r="C10" s="18" t="n">
        <f aca="false">SUMIF(Monthly!$C$5:$BJ$5,C$3,Monthly!$C$23:$BJ$23)</f>
        <v>0</v>
      </c>
      <c r="D10" s="18" t="n">
        <f aca="false">SUMIF(Monthly!$C$5:$BJ$5,D$3,Monthly!$C$23:$BJ$23)</f>
        <v>0</v>
      </c>
      <c r="E10" s="18" t="n">
        <f aca="false">SUMIF(Monthly!$C$5:$BJ$5,E$3,Monthly!$C$23:$BJ$23)</f>
        <v>12631291.2606915</v>
      </c>
      <c r="F10" s="18" t="n">
        <f aca="false">SUMIF(Monthly!$C$5:$BJ$5,F$3,Monthly!$C$23:$BJ$23)</f>
        <v>24755811.587711</v>
      </c>
      <c r="G10" s="18" t="n">
        <f aca="false">SUMIF(Monthly!$C$5:$BJ$5,G$3,Monthly!$C$23:$BJ$23)</f>
        <v>29216173.3500867</v>
      </c>
    </row>
    <row r="11" customFormat="false" ht="15" hidden="false" customHeight="false" outlineLevel="0" collapsed="false">
      <c r="A11" s="6" t="s">
        <v>237</v>
      </c>
      <c r="B11" s="16" t="s">
        <v>194</v>
      </c>
      <c r="C11" s="18" t="n">
        <f aca="false">SUMIF(Monthly!$C$5:$BJ$5,C$3,Monthly!$C$24:$BJ$24)</f>
        <v>0</v>
      </c>
      <c r="D11" s="18" t="n">
        <f aca="false">SUMIF(Monthly!$C$5:$BJ$5,D$3,Monthly!$C$24:$BJ$24)</f>
        <v>0</v>
      </c>
      <c r="E11" s="18" t="n">
        <f aca="false">SUMIF(Monthly!$C$5:$BJ$5,E$3,Monthly!$C$24:$BJ$24)</f>
        <v>1961254.3913228</v>
      </c>
      <c r="F11" s="18" t="n">
        <f aca="false">SUMIF(Monthly!$C$5:$BJ$5,F$3,Monthly!$C$24:$BJ$24)</f>
        <v>9936290.0367306</v>
      </c>
      <c r="G11" s="18" t="n">
        <f aca="false">SUMIF(Monthly!$C$5:$BJ$5,G$3,Monthly!$C$24:$BJ$24)</f>
        <v>13557525.3800792</v>
      </c>
    </row>
    <row r="12" customFormat="false" ht="15" hidden="false" customHeight="false" outlineLevel="0" collapsed="false">
      <c r="A12" s="6" t="s">
        <v>238</v>
      </c>
      <c r="B12" s="16" t="s">
        <v>194</v>
      </c>
      <c r="C12" s="18" t="n">
        <f aca="false">SUMIF(Monthly!$C$5:$BJ$5,C$3,Monthly!$C$25:$BJ$25)</f>
        <v>0</v>
      </c>
      <c r="D12" s="18" t="n">
        <f aca="false">SUMIF(Monthly!$C$5:$BJ$5,D$3,Monthly!$C$25:$BJ$25)</f>
        <v>0</v>
      </c>
      <c r="E12" s="18" t="n">
        <f aca="false">SUMIF(Monthly!$C$5:$BJ$5,E$3,Monthly!$C$25:$BJ$25)</f>
        <v>1161666.06255274</v>
      </c>
      <c r="F12" s="18" t="n">
        <f aca="false">SUMIF(Monthly!$C$5:$BJ$5,F$3,Monthly!$C$25:$BJ$25)</f>
        <v>5885341.02175582</v>
      </c>
      <c r="G12" s="18" t="n">
        <f aca="false">SUMIF(Monthly!$C$5:$BJ$5,G$3,Monthly!$C$25:$BJ$25)</f>
        <v>8030226.57127767</v>
      </c>
    </row>
    <row r="13" customFormat="false" ht="15" hidden="false" customHeight="false" outlineLevel="0" collapsed="false">
      <c r="A13" s="36" t="s">
        <v>239</v>
      </c>
      <c r="C13" s="23" t="n">
        <f aca="false">SUM(C7:C12)-C6</f>
        <v>0</v>
      </c>
      <c r="D13" s="23" t="n">
        <f aca="false">SUM(D7:D12)-D6</f>
        <v>0</v>
      </c>
      <c r="E13" s="23" t="n">
        <f aca="false">SUM(E7:E12)-E6</f>
        <v>0</v>
      </c>
      <c r="F13" s="23" t="n">
        <f aca="false">SUM(F7:F12)-F6</f>
        <v>0</v>
      </c>
      <c r="G13" s="23" t="n">
        <f aca="false">SUM(G7:G12)-G6</f>
        <v>0</v>
      </c>
    </row>
    <row r="14" customFormat="false" ht="15" hidden="false" customHeight="false" outlineLevel="0" collapsed="false">
      <c r="A14" s="6" t="s">
        <v>240</v>
      </c>
      <c r="B14" s="16" t="s">
        <v>194</v>
      </c>
      <c r="C14" s="18" t="n">
        <f aca="false">SUMIF(Monthly!$C$5:$BJ$5,C$3,Monthly!$C$30:$BJ$30)</f>
        <v>29497.6842008441</v>
      </c>
      <c r="D14" s="18" t="n">
        <f aca="false">SUMIF(Monthly!$C$5:$BJ$5,D$3,Monthly!$C$30:$BJ$30)</f>
        <v>1092674.65847177</v>
      </c>
      <c r="E14" s="18" t="n">
        <f aca="false">SUMIF(Monthly!$C$5:$BJ$5,E$3,Monthly!$C$30:$BJ$30)</f>
        <v>2811822.07953988</v>
      </c>
      <c r="F14" s="18" t="n">
        <f aca="false">SUMIF(Monthly!$C$5:$BJ$5,F$3,Monthly!$C$30:$BJ$30)</f>
        <v>3954567.54396506</v>
      </c>
      <c r="G14" s="18" t="n">
        <f aca="false">SUMIF(Monthly!$C$5:$BJ$5,G$3,Monthly!$C$30:$BJ$30)</f>
        <v>4402603.50616174</v>
      </c>
    </row>
    <row r="15" customFormat="false" ht="15" hidden="false" customHeight="false" outlineLevel="0" collapsed="false">
      <c r="A15" s="6" t="s">
        <v>199</v>
      </c>
      <c r="B15" s="16" t="s">
        <v>194</v>
      </c>
      <c r="C15" s="18" t="n">
        <f aca="false">SUMIF(Monthly!$C$5:$BJ$5,C$3,Monthly!$C$31:$BJ$31)</f>
        <v>17698.6105205065</v>
      </c>
      <c r="D15" s="18" t="n">
        <f aca="false">SUMIF(Monthly!$C$5:$BJ$5,D$3,Monthly!$C$31:$BJ$31)</f>
        <v>696473.962454561</v>
      </c>
      <c r="E15" s="18" t="n">
        <f aca="false">SUMIF(Monthly!$C$5:$BJ$5,E$3,Monthly!$C$31:$BJ$31)</f>
        <v>1778917.88512717</v>
      </c>
      <c r="F15" s="18" t="n">
        <f aca="false">SUMIF(Monthly!$C$5:$BJ$5,F$3,Monthly!$C$31:$BJ$31)</f>
        <v>2489175.20320022</v>
      </c>
      <c r="G15" s="18" t="n">
        <f aca="false">SUMIF(Monthly!$C$5:$BJ$5,G$3,Monthly!$C$31:$BJ$31)</f>
        <v>2769097.65393979</v>
      </c>
    </row>
    <row r="16" customFormat="false" ht="15" hidden="false" customHeight="false" outlineLevel="0" collapsed="false">
      <c r="A16" s="4" t="s">
        <v>200</v>
      </c>
      <c r="B16" s="16" t="s">
        <v>194</v>
      </c>
      <c r="C16" s="35" t="n">
        <f aca="false">SUMIF(Monthly!$C$5:$BJ$5,C$3,Monthly!$C$32:$BJ$32)</f>
        <v>47196.2947213506</v>
      </c>
      <c r="D16" s="35" t="n">
        <f aca="false">SUMIF(Monthly!$C$5:$BJ$5,D$3,Monthly!$C$32:$BJ$32)</f>
        <v>1789148.62092633</v>
      </c>
      <c r="E16" s="35" t="n">
        <f aca="false">SUMIF(Monthly!$C$5:$BJ$5,E$3,Monthly!$C$32:$BJ$32)</f>
        <v>4590739.96466705</v>
      </c>
      <c r="F16" s="35" t="n">
        <f aca="false">SUMIF(Monthly!$C$5:$BJ$5,F$3,Monthly!$C$32:$BJ$32)</f>
        <v>6443742.74716528</v>
      </c>
      <c r="G16" s="35" t="n">
        <f aca="false">SUMIF(Monthly!$C$5:$BJ$5,G$3,Monthly!$C$32:$BJ$32)</f>
        <v>7171701.16010154</v>
      </c>
    </row>
    <row r="17" customFormat="false" ht="15" hidden="false" customHeight="false" outlineLevel="0" collapsed="false">
      <c r="A17" s="6" t="s">
        <v>225</v>
      </c>
      <c r="C17" s="15" t="n">
        <f aca="false">IFERROR(C16/C6,0)</f>
        <v>0.04</v>
      </c>
      <c r="D17" s="15" t="n">
        <f aca="false">IFERROR(D16/D6,0)</f>
        <v>0.0385329972987265</v>
      </c>
      <c r="E17" s="15" t="n">
        <f aca="false">IFERROR(E16/E6,0)</f>
        <v>0.038034499510043</v>
      </c>
      <c r="F17" s="15" t="n">
        <f aca="false">IFERROR(F16/F6,0)</f>
        <v>0.038182619914801</v>
      </c>
      <c r="G17" s="15" t="n">
        <f aca="false">IFERROR(G16/G6,0)</f>
        <v>0.0382416050087267</v>
      </c>
    </row>
    <row r="18" customFormat="false" ht="15" hidden="false" customHeight="false" outlineLevel="0" collapsed="false">
      <c r="A18" s="6" t="s">
        <v>241</v>
      </c>
      <c r="B18" s="16" t="s">
        <v>194</v>
      </c>
      <c r="C18" s="18" t="n">
        <f aca="false">SUMIF(Monthly!$C$5:$BJ$5,C$3,Monthly!$C$41:$BJ$41)</f>
        <v>19114.499362147</v>
      </c>
      <c r="D18" s="18" t="n">
        <f aca="false">SUMIF(Monthly!$C$5:$BJ$5,D$3,Monthly!$C$41:$BJ$41)</f>
        <v>752191.879450925</v>
      </c>
      <c r="E18" s="18" t="n">
        <f aca="false">SUMIF(Monthly!$C$5:$BJ$5,E$3,Monthly!$C$41:$BJ$41)</f>
        <v>1955329.72395151</v>
      </c>
      <c r="F18" s="18" t="n">
        <f aca="false">SUMIF(Monthly!$C$5:$BJ$5,F$3,Monthly!$C$41:$BJ$41)</f>
        <v>2733930.58771257</v>
      </c>
      <c r="G18" s="18" t="n">
        <f aca="false">SUMIF(Monthly!$C$5:$BJ$5,G$3,Monthly!$C$41:$BJ$41)</f>
        <v>3038093.16494777</v>
      </c>
    </row>
    <row r="19" customFormat="false" ht="15" hidden="false" customHeight="false" outlineLevel="0" collapsed="false">
      <c r="A19" s="4" t="s">
        <v>203</v>
      </c>
      <c r="B19" s="16" t="s">
        <v>194</v>
      </c>
      <c r="C19" s="35" t="n">
        <f aca="false">SUMIF(Monthly!$C$5:$BJ$5,C$3,Monthly!$C$42:$BJ$42)</f>
        <v>28081.7953592036</v>
      </c>
      <c r="D19" s="35" t="n">
        <f aca="false">SUMIF(Monthly!$C$5:$BJ$5,D$3,Monthly!$C$42:$BJ$42)</f>
        <v>1036956.7414754</v>
      </c>
      <c r="E19" s="35" t="n">
        <f aca="false">SUMIF(Monthly!$C$5:$BJ$5,E$3,Monthly!$C$42:$BJ$42)</f>
        <v>2635410.24071554</v>
      </c>
      <c r="F19" s="35" t="n">
        <f aca="false">SUMIF(Monthly!$C$5:$BJ$5,F$3,Monthly!$C$42:$BJ$42)</f>
        <v>3709812.15945272</v>
      </c>
      <c r="G19" s="35" t="n">
        <f aca="false">SUMIF(Monthly!$C$5:$BJ$5,G$3,Monthly!$C$42:$BJ$42)</f>
        <v>4133607.99515377</v>
      </c>
    </row>
    <row r="20" customFormat="false" ht="15" hidden="false" customHeight="false" outlineLevel="0" collapsed="false">
      <c r="A20" s="6" t="s">
        <v>242</v>
      </c>
      <c r="C20" s="37" t="n">
        <f aca="false">IFERROR(C19/C16,0)</f>
        <v>0.595</v>
      </c>
      <c r="D20" s="37" t="n">
        <f aca="false">IFERROR(D19/D16,0)</f>
        <v>0.579581108772574</v>
      </c>
      <c r="E20" s="37" t="n">
        <f aca="false">IFERROR(E19/E16,0)</f>
        <v>0.574070903819244</v>
      </c>
      <c r="F20" s="37" t="n">
        <f aca="false">IFERROR(F19/F16,0)</f>
        <v>0.575723194580468</v>
      </c>
      <c r="G20" s="37" t="n">
        <f aca="false">IFERROR(G19/G16,0)</f>
        <v>0.576377612908685</v>
      </c>
    </row>
    <row r="21" customFormat="false" ht="15" hidden="false" customHeight="false" outlineLevel="0" collapsed="false">
      <c r="A21" s="6" t="s">
        <v>205</v>
      </c>
      <c r="B21" s="16" t="s">
        <v>194</v>
      </c>
      <c r="C21" s="18" t="n">
        <f aca="false">SUMIF(Monthly!$C$5:$BJ$5,C$3,Monthly!$C$45:$BJ$45)</f>
        <v>725500</v>
      </c>
      <c r="D21" s="18" t="n">
        <f aca="false">SUMIF(Monthly!$C$5:$BJ$5,D$3,Monthly!$C$45:$BJ$45)</f>
        <v>1108500</v>
      </c>
      <c r="E21" s="18" t="n">
        <f aca="false">SUMIF(Monthly!$C$5:$BJ$5,E$3,Monthly!$C$45:$BJ$45)</f>
        <v>1557500</v>
      </c>
      <c r="F21" s="18" t="n">
        <f aca="false">SUMIF(Monthly!$C$5:$BJ$5,F$3,Monthly!$C$45:$BJ$45)</f>
        <v>1892500</v>
      </c>
      <c r="G21" s="18" t="n">
        <f aca="false">SUMIF(Monthly!$C$5:$BJ$5,G$3,Monthly!$C$45:$BJ$45)</f>
        <v>2042000</v>
      </c>
    </row>
    <row r="22" customFormat="false" ht="15" hidden="false" customHeight="false" outlineLevel="0" collapsed="false">
      <c r="A22" s="6" t="s">
        <v>206</v>
      </c>
      <c r="B22" s="16" t="s">
        <v>194</v>
      </c>
      <c r="C22" s="18" t="n">
        <f aca="false">SUMIF(Monthly!$C$5:$BJ$5,C$3,Monthly!$C$46:$BJ$46)</f>
        <v>60000</v>
      </c>
      <c r="D22" s="18" t="n">
        <f aca="false">SUMIF(Monthly!$C$5:$BJ$5,D$3,Monthly!$C$46:$BJ$46)</f>
        <v>200000</v>
      </c>
      <c r="E22" s="18" t="n">
        <f aca="false">SUMIF(Monthly!$C$5:$BJ$5,E$3,Monthly!$C$46:$BJ$46)</f>
        <v>300000</v>
      </c>
      <c r="F22" s="18" t="n">
        <f aca="false">SUMIF(Monthly!$C$5:$BJ$5,F$3,Monthly!$C$46:$BJ$46)</f>
        <v>360000</v>
      </c>
      <c r="G22" s="18" t="n">
        <f aca="false">SUMIF(Monthly!$C$5:$BJ$5,G$3,Monthly!$C$46:$BJ$46)</f>
        <v>400000</v>
      </c>
    </row>
    <row r="23" customFormat="false" ht="15" hidden="false" customHeight="false" outlineLevel="0" collapsed="false">
      <c r="A23" s="6" t="s">
        <v>207</v>
      </c>
      <c r="B23" s="16" t="s">
        <v>194</v>
      </c>
      <c r="C23" s="18" t="n">
        <f aca="false">SUMIF(Monthly!$C$5:$BJ$5,C$3,Monthly!$C$47:$BJ$47)</f>
        <v>280000</v>
      </c>
      <c r="D23" s="18" t="n">
        <f aca="false">SUMIF(Monthly!$C$5:$BJ$5,D$3,Monthly!$C$47:$BJ$47)</f>
        <v>360000</v>
      </c>
      <c r="E23" s="18" t="n">
        <f aca="false">SUMIF(Monthly!$C$5:$BJ$5,E$3,Monthly!$C$47:$BJ$47)</f>
        <v>360000</v>
      </c>
      <c r="F23" s="18" t="n">
        <f aca="false">SUMIF(Monthly!$C$5:$BJ$5,F$3,Monthly!$C$47:$BJ$47)</f>
        <v>380000</v>
      </c>
      <c r="G23" s="18" t="n">
        <f aca="false">SUMIF(Monthly!$C$5:$BJ$5,G$3,Monthly!$C$47:$BJ$47)</f>
        <v>400000</v>
      </c>
    </row>
    <row r="24" customFormat="false" ht="15" hidden="false" customHeight="false" outlineLevel="0" collapsed="false">
      <c r="A24" s="6" t="s">
        <v>208</v>
      </c>
      <c r="B24" s="16" t="s">
        <v>194</v>
      </c>
      <c r="C24" s="18" t="n">
        <f aca="false">SUMIF(Monthly!$C$5:$BJ$5,C$3,Monthly!$C$48:$BJ$48)</f>
        <v>140000</v>
      </c>
      <c r="D24" s="18" t="n">
        <f aca="false">SUMIF(Monthly!$C$5:$BJ$5,D$3,Monthly!$C$48:$BJ$48)</f>
        <v>220000</v>
      </c>
      <c r="E24" s="18" t="n">
        <f aca="false">SUMIF(Monthly!$C$5:$BJ$5,E$3,Monthly!$C$48:$BJ$48)</f>
        <v>300000</v>
      </c>
      <c r="F24" s="18" t="n">
        <f aca="false">SUMIF(Monthly!$C$5:$BJ$5,F$3,Monthly!$C$48:$BJ$48)</f>
        <v>380000</v>
      </c>
      <c r="G24" s="18" t="n">
        <f aca="false">SUMIF(Monthly!$C$5:$BJ$5,G$3,Monthly!$C$48:$BJ$48)</f>
        <v>420000</v>
      </c>
    </row>
    <row r="25" customFormat="false" ht="15" hidden="false" customHeight="false" outlineLevel="0" collapsed="false">
      <c r="A25" s="6" t="s">
        <v>209</v>
      </c>
      <c r="B25" s="16" t="s">
        <v>194</v>
      </c>
      <c r="C25" s="18" t="n">
        <f aca="false">SUMIF(Monthly!$C$5:$BJ$5,C$3,Monthly!$C$49:$BJ$49)</f>
        <v>50000</v>
      </c>
      <c r="D25" s="18" t="n">
        <f aca="false">SUMIF(Monthly!$C$5:$BJ$5,D$3,Monthly!$C$49:$BJ$49)</f>
        <v>220000</v>
      </c>
      <c r="E25" s="18" t="n">
        <f aca="false">SUMIF(Monthly!$C$5:$BJ$5,E$3,Monthly!$C$49:$BJ$49)</f>
        <v>320000</v>
      </c>
      <c r="F25" s="18" t="n">
        <f aca="false">SUMIF(Monthly!$C$5:$BJ$5,F$3,Monthly!$C$49:$BJ$49)</f>
        <v>340000</v>
      </c>
      <c r="G25" s="18" t="n">
        <f aca="false">SUMIF(Monthly!$C$5:$BJ$5,G$3,Monthly!$C$49:$BJ$49)</f>
        <v>360000</v>
      </c>
    </row>
    <row r="26" customFormat="false" ht="15" hidden="false" customHeight="false" outlineLevel="0" collapsed="false">
      <c r="A26" s="6" t="s">
        <v>210</v>
      </c>
      <c r="B26" s="16" t="s">
        <v>194</v>
      </c>
      <c r="C26" s="18" t="n">
        <f aca="false">SUMIF(Monthly!$C$5:$BJ$5,C$3,Monthly!$C$50:$BJ$50)</f>
        <v>80000</v>
      </c>
      <c r="D26" s="18" t="n">
        <f aca="false">SUMIF(Monthly!$C$5:$BJ$5,D$3,Monthly!$C$50:$BJ$50)</f>
        <v>150000</v>
      </c>
      <c r="E26" s="18" t="n">
        <f aca="false">SUMIF(Monthly!$C$5:$BJ$5,E$3,Monthly!$C$50:$BJ$50)</f>
        <v>200000</v>
      </c>
      <c r="F26" s="18" t="n">
        <f aca="false">SUMIF(Monthly!$C$5:$BJ$5,F$3,Monthly!$C$50:$BJ$50)</f>
        <v>240000</v>
      </c>
      <c r="G26" s="18" t="n">
        <f aca="false">SUMIF(Monthly!$C$5:$BJ$5,G$3,Monthly!$C$50:$BJ$50)</f>
        <v>260000</v>
      </c>
    </row>
    <row r="27" customFormat="false" ht="15" hidden="false" customHeight="false" outlineLevel="0" collapsed="false">
      <c r="A27" s="4" t="s">
        <v>211</v>
      </c>
      <c r="B27" s="16" t="s">
        <v>194</v>
      </c>
      <c r="C27" s="35" t="n">
        <f aca="false">SUMIF(Monthly!$C$5:$BJ$5,C$3,Monthly!$C$51:$BJ$51)</f>
        <v>1335500</v>
      </c>
      <c r="D27" s="35" t="n">
        <f aca="false">SUMIF(Monthly!$C$5:$BJ$5,D$3,Monthly!$C$51:$BJ$51)</f>
        <v>2258500</v>
      </c>
      <c r="E27" s="35" t="n">
        <f aca="false">SUMIF(Monthly!$C$5:$BJ$5,E$3,Monthly!$C$51:$BJ$51)</f>
        <v>3037500</v>
      </c>
      <c r="F27" s="35" t="n">
        <f aca="false">SUMIF(Monthly!$C$5:$BJ$5,F$3,Monthly!$C$51:$BJ$51)</f>
        <v>3592500</v>
      </c>
      <c r="G27" s="35" t="n">
        <f aca="false">SUMIF(Monthly!$C$5:$BJ$5,G$3,Monthly!$C$51:$BJ$51)</f>
        <v>3882000</v>
      </c>
    </row>
    <row r="28" customFormat="false" ht="15" hidden="false" customHeight="false" outlineLevel="0" collapsed="false">
      <c r="A28" s="6" t="s">
        <v>243</v>
      </c>
      <c r="C28" s="37" t="str">
        <f aca="false">IF(C16&lt;250000,"n/m",C29/C16)</f>
        <v>n/m</v>
      </c>
      <c r="D28" s="37" t="n">
        <f aca="false">IF(D16&lt;250000,"n/m",D29/D16)</f>
        <v>-0.682751138858518</v>
      </c>
      <c r="E28" s="37" t="n">
        <f aca="false">IF(E16&lt;250000,"n/m",E29/E16)</f>
        <v>-0.0875871346186404</v>
      </c>
      <c r="F28" s="37" t="n">
        <f aca="false">IF(F16&lt;250000,"n/m",F29/F16)</f>
        <v>0.0182055932484771</v>
      </c>
      <c r="G28" s="37" t="n">
        <f aca="false">IF(G16&lt;250000,"n/m",G29/G16)</f>
        <v>0.0350834466658403</v>
      </c>
    </row>
    <row r="29" customFormat="false" ht="15" hidden="false" customHeight="false" outlineLevel="0" collapsed="false">
      <c r="A29" s="4" t="s">
        <v>212</v>
      </c>
      <c r="B29" s="16" t="s">
        <v>194</v>
      </c>
      <c r="C29" s="35" t="n">
        <f aca="false">SUMIF(Monthly!$C$5:$BJ$5,C$3,Monthly!$C$53:$BJ$53)</f>
        <v>-1307418.2046408</v>
      </c>
      <c r="D29" s="35" t="n">
        <f aca="false">SUMIF(Monthly!$C$5:$BJ$5,D$3,Monthly!$C$53:$BJ$53)</f>
        <v>-1221543.2585246</v>
      </c>
      <c r="E29" s="35" t="n">
        <f aca="false">SUMIF(Monthly!$C$5:$BJ$5,E$3,Monthly!$C$53:$BJ$53)</f>
        <v>-402089.759284465</v>
      </c>
      <c r="F29" s="35" t="n">
        <f aca="false">SUMIF(Monthly!$C$5:$BJ$5,F$3,Monthly!$C$53:$BJ$53)</f>
        <v>117312.159452715</v>
      </c>
      <c r="G29" s="35" t="n">
        <f aca="false">SUMIF(Monthly!$C$5:$BJ$5,G$3,Monthly!$C$53:$BJ$53)</f>
        <v>251607.995153768</v>
      </c>
    </row>
    <row r="31" customFormat="false" ht="15" hidden="false" customHeight="false" outlineLevel="0" collapsed="false">
      <c r="A31" s="6" t="s">
        <v>214</v>
      </c>
      <c r="B31" s="16" t="s">
        <v>194</v>
      </c>
      <c r="C31" s="18" t="n">
        <f aca="false">SUMIF(Monthly!$C$5:$BJ$5,C$3,Monthly!$C$56:$BJ$56)</f>
        <v>200000</v>
      </c>
      <c r="D31" s="18" t="n">
        <f aca="false">SUMIF(Monthly!$C$5:$BJ$5,D$3,Monthly!$C$56:$BJ$56)</f>
        <v>250000</v>
      </c>
      <c r="E31" s="18" t="n">
        <f aca="false">SUMIF(Monthly!$C$5:$BJ$5,E$3,Monthly!$C$56:$BJ$56)</f>
        <v>300000</v>
      </c>
      <c r="F31" s="18" t="n">
        <f aca="false">SUMIF(Monthly!$C$5:$BJ$5,F$3,Monthly!$C$56:$BJ$56)</f>
        <v>300000</v>
      </c>
      <c r="G31" s="18" t="n">
        <f aca="false">SUMIF(Monthly!$C$5:$BJ$5,G$3,Monthly!$C$56:$BJ$56)</f>
        <v>300000</v>
      </c>
    </row>
    <row r="32" customFormat="false" ht="15" hidden="false" customHeight="false" outlineLevel="0" collapsed="false">
      <c r="A32" s="6" t="s">
        <v>218</v>
      </c>
      <c r="B32" s="16" t="s">
        <v>194</v>
      </c>
      <c r="C32" s="18" t="n">
        <f aca="false">SUMIF(Monthly!$C$5:$BJ$5,C$3,Monthly!$C$60:$BJ$60)</f>
        <v>4000000</v>
      </c>
      <c r="D32" s="18" t="n">
        <f aca="false">SUMIF(Monthly!$C$5:$BJ$5,D$3,Monthly!$C$60:$BJ$60)</f>
        <v>5000000</v>
      </c>
      <c r="E32" s="18" t="n">
        <f aca="false">SUMIF(Monthly!$C$5:$BJ$5,E$3,Monthly!$C$60:$BJ$60)</f>
        <v>0</v>
      </c>
      <c r="F32" s="18" t="n">
        <f aca="false">SUMIF(Monthly!$C$5:$BJ$5,F$3,Monthly!$C$60:$BJ$60)</f>
        <v>0</v>
      </c>
      <c r="G32" s="18" t="n">
        <f aca="false">SUMIF(Monthly!$C$5:$BJ$5,G$3,Monthly!$C$60:$BJ$60)</f>
        <v>0</v>
      </c>
    </row>
    <row r="34" customFormat="false" ht="15" hidden="false" customHeight="false" outlineLevel="0" collapsed="false">
      <c r="A34" s="8" t="s">
        <v>244</v>
      </c>
      <c r="B34" s="9" t="s">
        <v>124</v>
      </c>
      <c r="C34" s="9" t="s">
        <v>71</v>
      </c>
      <c r="D34" s="9" t="s">
        <v>72</v>
      </c>
      <c r="E34" s="9" t="s">
        <v>73</v>
      </c>
      <c r="F34" s="9" t="s">
        <v>74</v>
      </c>
      <c r="G34" s="9" t="s">
        <v>75</v>
      </c>
    </row>
    <row r="35" customFormat="false" ht="15" hidden="false" customHeight="false" outlineLevel="0" collapsed="false">
      <c r="A35" s="6" t="s">
        <v>245</v>
      </c>
      <c r="B35" s="16" t="s">
        <v>194</v>
      </c>
      <c r="C35" s="18" t="n">
        <f aca="false">INDEX(Monthly!$C$57:$BJ$57,12)</f>
        <v>67675.9729440543</v>
      </c>
      <c r="D35" s="18" t="n">
        <f aca="false">INDEX(Monthly!$C$57:$BJ$57,24)</f>
        <v>642085.694998778</v>
      </c>
      <c r="E35" s="18" t="n">
        <f aca="false">INDEX(Monthly!$C$57:$BJ$57,36)</f>
        <v>1186590.97822324</v>
      </c>
      <c r="F35" s="18" t="n">
        <f aca="false">INDEX(Monthly!$C$57:$BJ$57,48)</f>
        <v>1434245.71300887</v>
      </c>
      <c r="G35" s="18" t="n">
        <f aca="false">INDEX(Monthly!$C$57:$BJ$57,60)</f>
        <v>1525352.79844526</v>
      </c>
    </row>
    <row r="36" customFormat="false" ht="15" hidden="false" customHeight="false" outlineLevel="0" collapsed="false">
      <c r="A36" s="6" t="s">
        <v>246</v>
      </c>
      <c r="B36" s="16" t="s">
        <v>194</v>
      </c>
      <c r="C36" s="18" t="n">
        <f aca="false">INDEX(Monthly!$C$61:$BJ$61,12)</f>
        <v>2424905.82241515</v>
      </c>
      <c r="D36" s="18" t="n">
        <f aca="false">INDEX(Monthly!$C$61:$BJ$61,24)</f>
        <v>5378952.84183583</v>
      </c>
      <c r="E36" s="18" t="n">
        <f aca="false">INDEX(Monthly!$C$61:$BJ$61,36)</f>
        <v>4132357.7993269</v>
      </c>
      <c r="F36" s="18" t="n">
        <f aca="false">INDEX(Monthly!$C$61:$BJ$61,48)</f>
        <v>3702015.22399399</v>
      </c>
      <c r="G36" s="18" t="n">
        <f aca="false">INDEX(Monthly!$C$61:$BJ$61,60)</f>
        <v>3562516.13371136</v>
      </c>
    </row>
    <row r="37" customFormat="false" ht="15" hidden="false" customHeight="false" outlineLevel="0" collapsed="false">
      <c r="A37" s="6" t="s">
        <v>247</v>
      </c>
      <c r="B37" s="16" t="s">
        <v>194</v>
      </c>
      <c r="C37" s="18" t="n">
        <f aca="false">_xlfn.MINIFS(Monthly!$C$61:$BJ$61,Monthly!$C$5:$BJ$5,C$3)</f>
        <v>2424905.82241515</v>
      </c>
      <c r="D37" s="18" t="n">
        <f aca="false">_xlfn.MINIFS(Monthly!$C$61:$BJ$61,Monthly!$C$5:$BJ$5,D$3)</f>
        <v>795682.156280007</v>
      </c>
      <c r="E37" s="18" t="n">
        <f aca="false">_xlfn.MINIFS(Monthly!$C$61:$BJ$61,Monthly!$C$5:$BJ$5,E$3)</f>
        <v>4132357.7993269</v>
      </c>
      <c r="F37" s="18" t="n">
        <f aca="false">_xlfn.MINIFS(Monthly!$C$61:$BJ$61,Monthly!$C$5:$BJ$5,F$3)</f>
        <v>3702015.22399399</v>
      </c>
      <c r="G37" s="18" t="n">
        <f aca="false">_xlfn.MINIFS(Monthly!$C$61:$BJ$61,Monthly!$C$5:$BJ$5,G$3)</f>
        <v>3562516.13371136</v>
      </c>
    </row>
    <row r="38" customFormat="false" ht="15" hidden="false" customHeight="false" outlineLevel="0" collapsed="false">
      <c r="A38" s="6" t="s">
        <v>248</v>
      </c>
      <c r="B38" s="16" t="s">
        <v>191</v>
      </c>
      <c r="C38" s="38" t="n">
        <f aca="false">INDEX(Monthly!$C$65:$BJ$65,12)</f>
        <v>4707.89377002117</v>
      </c>
      <c r="D38" s="38" t="n">
        <f aca="false">INDEX(Monthly!$C$65:$BJ$65,24)</f>
        <v>38420.5067281175</v>
      </c>
      <c r="E38" s="38" t="n">
        <f aca="false">INDEX(Monthly!$C$65:$BJ$65,36)</f>
        <v>89330.4007584747</v>
      </c>
      <c r="F38" s="38" t="n">
        <f aca="false">INDEX(Monthly!$C$65:$BJ$65,48)</f>
        <v>114279.945887767</v>
      </c>
      <c r="G38" s="38" t="n">
        <f aca="false">INDEX(Monthly!$C$65:$BJ$65,60)</f>
        <v>123458.370607413</v>
      </c>
    </row>
    <row r="39" customFormat="false" ht="15" hidden="false" customHeight="false" outlineLevel="0" collapsed="false">
      <c r="A39" s="6" t="s">
        <v>249</v>
      </c>
      <c r="B39" s="16" t="s">
        <v>191</v>
      </c>
      <c r="C39" s="38" t="n">
        <f aca="false">Headcount!D16</f>
        <v>18</v>
      </c>
      <c r="D39" s="38" t="n">
        <f aca="false">Headcount!E16</f>
        <v>32</v>
      </c>
      <c r="E39" s="38" t="n">
        <f aca="false">Headcount!F16</f>
        <v>45</v>
      </c>
      <c r="F39" s="38" t="n">
        <f aca="false">Headcount!G16</f>
        <v>53</v>
      </c>
      <c r="G39" s="38" t="n">
        <f aca="false">Headcount!H16</f>
        <v>56</v>
      </c>
    </row>
    <row r="40" customFormat="false" ht="15" hidden="false" customHeight="false" outlineLevel="0" collapsed="false">
      <c r="A40" s="6" t="s">
        <v>250</v>
      </c>
      <c r="B40" s="16" t="s">
        <v>194</v>
      </c>
      <c r="C40" s="23" t="n">
        <f aca="false">SUMIF(Monthly!$C$5:$BJ$5,C$3,Monthly!$C$27:$BJ$27)</f>
        <v>1179907.36803376</v>
      </c>
      <c r="D40" s="23" t="n">
        <f aca="false">SUMIF(Monthly!$C$5:$BJ$5,D$3,Monthly!$C$27:$BJ$27)</f>
        <v>46431597.4969707</v>
      </c>
      <c r="E40" s="23" t="n">
        <f aca="false">SUMIF(Monthly!$C$5:$BJ$5,E$3,Monthly!$C$27:$BJ$27)</f>
        <v>104945153.961452</v>
      </c>
      <c r="F40" s="23" t="n">
        <f aca="false">SUMIF(Monthly!$C$5:$BJ$5,F$3,Monthly!$C$27:$BJ$27)</f>
        <v>128183704.743467</v>
      </c>
      <c r="G40" s="23" t="n">
        <f aca="false">SUMIF(Monthly!$C$5:$BJ$5,G$3,Monthly!$C$27:$BJ$27)</f>
        <v>136732689.818789</v>
      </c>
    </row>
    <row r="41" customFormat="false" ht="15" hidden="false" customHeight="false" outlineLevel="0" collapsed="false">
      <c r="A41" s="6" t="s">
        <v>251</v>
      </c>
      <c r="B41" s="16" t="s">
        <v>194</v>
      </c>
      <c r="C41" s="23" t="n">
        <f aca="false">Assumptions!$B$53*(1+Assumptions!$B$54)^(C$3+Assumptions!$B$55-2025)</f>
        <v>1038565952</v>
      </c>
      <c r="D41" s="23" t="n">
        <f aca="false">Assumptions!$B$53*(1+Assumptions!$B$54)^(D$3+Assumptions!$B$55-2025)</f>
        <v>1100879909.12</v>
      </c>
      <c r="E41" s="23" t="n">
        <f aca="false">Assumptions!$B$53*(1+Assumptions!$B$54)^(E$3+Assumptions!$B$55-2025)</f>
        <v>1166932703.6672</v>
      </c>
      <c r="F41" s="23" t="n">
        <f aca="false">Assumptions!$B$53*(1+Assumptions!$B$54)^(F$3+Assumptions!$B$55-2025)</f>
        <v>1236948665.88723</v>
      </c>
      <c r="G41" s="23" t="n">
        <f aca="false">Assumptions!$B$53*(1+Assumptions!$B$54)^(G$3+Assumptions!$B$55-2025)</f>
        <v>1311165585.84047</v>
      </c>
    </row>
    <row r="42" customFormat="false" ht="15" hidden="false" customHeight="false" outlineLevel="0" collapsed="false">
      <c r="A42" s="6" t="s">
        <v>252</v>
      </c>
      <c r="B42" s="16" t="s">
        <v>62</v>
      </c>
      <c r="C42" s="37" t="n">
        <f aca="false">IFERROR(C40/C41,0)</f>
        <v>0.00113609286512963</v>
      </c>
      <c r="D42" s="37" t="n">
        <f aca="false">IFERROR(D40/D41,0)</f>
        <v>0.0421768052194597</v>
      </c>
      <c r="E42" s="37" t="n">
        <f aca="false">IFERROR(E40/E41,0)</f>
        <v>0.0899324816518139</v>
      </c>
      <c r="F42" s="37" t="n">
        <f aca="false">IFERROR(F40/F41,0)</f>
        <v>0.10362896074715</v>
      </c>
      <c r="G42" s="37" t="n">
        <f aca="false">IFERROR(G40/G41,0)</f>
        <v>0.104283311959521</v>
      </c>
    </row>
    <row r="43" customFormat="false" ht="15" hidden="false" customHeight="false" outlineLevel="0" collapsed="false">
      <c r="A43" s="6" t="s">
        <v>253</v>
      </c>
      <c r="B43" s="16" t="s">
        <v>254</v>
      </c>
      <c r="C43" s="25" t="n">
        <f aca="false">SUMIF(Monthly!$C$5:$BJ$5,C$3,Monthly!$C$69:$BJ$69)</f>
        <v>0</v>
      </c>
      <c r="D43" s="25" t="n">
        <f aca="false">SUMIF(Monthly!$C$5:$BJ$5,D$3,Monthly!$C$69:$BJ$69)</f>
        <v>0</v>
      </c>
      <c r="E43" s="25" t="n">
        <f aca="false">SUMIF(Monthly!$C$5:$BJ$5,E$3,Monthly!$C$69:$BJ$69)</f>
        <v>3</v>
      </c>
      <c r="F43" s="25" t="n">
        <f aca="false">SUMIF(Monthly!$C$5:$BJ$5,F$3,Monthly!$C$69:$BJ$69)</f>
        <v>8</v>
      </c>
      <c r="G43" s="25" t="n">
        <f aca="false">SUMIF(Monthly!$C$5:$BJ$5,G$3,Monthly!$C$69:$BJ$69)</f>
        <v>10</v>
      </c>
    </row>
    <row r="45" customFormat="false" ht="15" hidden="false" customHeight="false" outlineLevel="0" collapsed="false">
      <c r="A45" s="4" t="s">
        <v>255</v>
      </c>
      <c r="C45" s="24" t="n">
        <f aca="false">IFERROR(MATCH(1,INDEX((Monthly!$C$69:$BJ$69=1)*(Monthly!$C$4:$BJ$4&gt;20),0),0),"not reached")</f>
        <v>34</v>
      </c>
    </row>
    <row r="46" customFormat="false" ht="15" hidden="false" customHeight="false" outlineLevel="0" collapsed="false">
      <c r="A46" s="4" t="s">
        <v>256</v>
      </c>
      <c r="C46" s="19" t="n">
        <f aca="false">MIN(Monthly!$C$62:$BJ$62)</f>
        <v>-3001734.81465225</v>
      </c>
    </row>
    <row r="47" customFormat="false" ht="15" hidden="false" customHeight="false" outlineLevel="0" collapsed="false">
      <c r="A47" s="4" t="s">
        <v>257</v>
      </c>
      <c r="C47" s="19" t="n">
        <f aca="false">MIN(Monthly!$C$61:$BJ$61)</f>
        <v>795682.156280007</v>
      </c>
    </row>
    <row r="48" customFormat="false" ht="15" hidden="false" customHeight="false" outlineLevel="0" collapsed="false">
      <c r="A48" s="4" t="s">
        <v>258</v>
      </c>
      <c r="C48" s="19" t="n">
        <f aca="false">IFERROR((E27/12)/(E19/E6),0)</f>
        <v>11592892.2430108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1" t="s">
        <v>259</v>
      </c>
    </row>
    <row r="3" customFormat="false" ht="26.85" hidden="false" customHeight="false" outlineLevel="0" collapsed="false">
      <c r="A3" s="8" t="s">
        <v>260</v>
      </c>
      <c r="B3" s="9" t="s">
        <v>261</v>
      </c>
      <c r="C3" s="9" t="s">
        <v>262</v>
      </c>
      <c r="D3" s="9" t="s">
        <v>263</v>
      </c>
      <c r="E3" s="9" t="s">
        <v>264</v>
      </c>
      <c r="F3" s="9" t="s">
        <v>265</v>
      </c>
      <c r="G3" s="9" t="s">
        <v>266</v>
      </c>
    </row>
    <row r="4" customFormat="false" ht="15" hidden="false" customHeight="false" outlineLevel="0" collapsed="false">
      <c r="A4" s="6" t="s">
        <v>267</v>
      </c>
      <c r="B4" s="39" t="n">
        <f aca="false">Assumptions!E12</f>
        <v>230</v>
      </c>
      <c r="C4" s="39" t="n">
        <f aca="false">Assumptions!E13</f>
        <v>320</v>
      </c>
      <c r="D4" s="39" t="n">
        <f aca="false">Assumptions!E14</f>
        <v>300</v>
      </c>
      <c r="E4" s="39" t="n">
        <f aca="false">Assumptions!E15</f>
        <v>110</v>
      </c>
      <c r="F4" s="39" t="n">
        <f aca="false">Assumptions!E16</f>
        <v>130</v>
      </c>
      <c r="G4" s="39" t="n">
        <f aca="false">Assumptions!E17</f>
        <v>110</v>
      </c>
    </row>
    <row r="5" customFormat="false" ht="15" hidden="false" customHeight="false" outlineLevel="0" collapsed="false">
      <c r="A5" s="6" t="s">
        <v>240</v>
      </c>
      <c r="B5" s="31" t="n">
        <f aca="false">B4*Assumptions!F12</f>
        <v>5.75</v>
      </c>
      <c r="C5" s="31" t="n">
        <f aca="false">C4*Assumptions!F13</f>
        <v>6.72</v>
      </c>
      <c r="D5" s="31" t="n">
        <f aca="false">D4*Assumptions!F14</f>
        <v>6.9</v>
      </c>
      <c r="E5" s="31" t="n">
        <f aca="false">E4*Assumptions!F15</f>
        <v>2.64</v>
      </c>
      <c r="F5" s="31" t="n">
        <f aca="false">F4*Assumptions!F16</f>
        <v>3.38</v>
      </c>
      <c r="G5" s="31" t="n">
        <f aca="false">G4*Assumptions!F17</f>
        <v>2.64</v>
      </c>
    </row>
    <row r="6" customFormat="false" ht="15" hidden="false" customHeight="false" outlineLevel="0" collapsed="false">
      <c r="A6" s="6" t="s">
        <v>199</v>
      </c>
      <c r="B6" s="31" t="n">
        <f aca="false">B4*Assumptions!G12</f>
        <v>3.45</v>
      </c>
      <c r="C6" s="31" t="n">
        <f aca="false">C4*Assumptions!G13</f>
        <v>4.8</v>
      </c>
      <c r="D6" s="31" t="n">
        <f aca="false">D4*Assumptions!G14</f>
        <v>4.5</v>
      </c>
      <c r="E6" s="31" t="n">
        <f aca="false">E4*Assumptions!G15</f>
        <v>1.32</v>
      </c>
      <c r="F6" s="31" t="n">
        <f aca="false">F4*Assumptions!G16</f>
        <v>2.6</v>
      </c>
      <c r="G6" s="31" t="n">
        <f aca="false">G4*Assumptions!G17</f>
        <v>1.32</v>
      </c>
    </row>
    <row r="7" customFormat="false" ht="15" hidden="false" customHeight="false" outlineLevel="0" collapsed="false">
      <c r="A7" s="4" t="s">
        <v>200</v>
      </c>
      <c r="B7" s="40" t="n">
        <f aca="false">B5+B6</f>
        <v>9.2</v>
      </c>
      <c r="C7" s="40" t="n">
        <f aca="false">C5+C6</f>
        <v>11.52</v>
      </c>
      <c r="D7" s="40" t="n">
        <f aca="false">D5+D6</f>
        <v>11.4</v>
      </c>
      <c r="E7" s="40" t="n">
        <f aca="false">E5+E6</f>
        <v>3.96</v>
      </c>
      <c r="F7" s="40" t="n">
        <f aca="false">F5+F6</f>
        <v>5.98</v>
      </c>
      <c r="G7" s="40" t="n">
        <f aca="false">G5+G6</f>
        <v>3.96</v>
      </c>
    </row>
    <row r="8" customFormat="false" ht="15" hidden="false" customHeight="false" outlineLevel="0" collapsed="false">
      <c r="A8" s="6" t="s">
        <v>268</v>
      </c>
      <c r="B8" s="31" t="n">
        <f aca="false">B$4*Assumptions!$B$26</f>
        <v>1.61</v>
      </c>
      <c r="C8" s="31" t="n">
        <f aca="false">C$4*Assumptions!$B$26</f>
        <v>2.24</v>
      </c>
      <c r="D8" s="31" t="n">
        <f aca="false">D$4*Assumptions!$B$26</f>
        <v>2.1</v>
      </c>
      <c r="E8" s="31" t="n">
        <f aca="false">E$4*Assumptions!$B$26</f>
        <v>0.77</v>
      </c>
      <c r="F8" s="31" t="n">
        <f aca="false">F$4*Assumptions!$B$26</f>
        <v>0.91</v>
      </c>
      <c r="G8" s="31" t="n">
        <f aca="false">G$4*Assumptions!$B$26</f>
        <v>0.77</v>
      </c>
    </row>
    <row r="9" customFormat="false" ht="15" hidden="false" customHeight="false" outlineLevel="0" collapsed="false">
      <c r="A9" s="6" t="s">
        <v>269</v>
      </c>
      <c r="B9" s="31" t="n">
        <f aca="false">B$4*Assumptions!$B$27</f>
        <v>0.575</v>
      </c>
      <c r="C9" s="31" t="n">
        <f aca="false">C$4*Assumptions!$B$27</f>
        <v>0.8</v>
      </c>
      <c r="D9" s="31" t="n">
        <f aca="false">D$4*Assumptions!$B$27</f>
        <v>0.75</v>
      </c>
      <c r="E9" s="31" t="n">
        <f aca="false">E$4*Assumptions!$B$27</f>
        <v>0.275</v>
      </c>
      <c r="F9" s="31" t="n">
        <f aca="false">F$4*Assumptions!$B$27</f>
        <v>0.325</v>
      </c>
      <c r="G9" s="31" t="n">
        <f aca="false">G$4*Assumptions!$B$27</f>
        <v>0.275</v>
      </c>
    </row>
    <row r="10" customFormat="false" ht="15" hidden="false" customHeight="false" outlineLevel="0" collapsed="false">
      <c r="A10" s="6" t="s">
        <v>270</v>
      </c>
      <c r="B10" s="31" t="n">
        <f aca="false">B$4*Assumptions!$B$28</f>
        <v>0.69</v>
      </c>
      <c r="C10" s="31" t="n">
        <f aca="false">C$4*Assumptions!$B$28</f>
        <v>0.96</v>
      </c>
      <c r="D10" s="31" t="n">
        <f aca="false">D$4*Assumptions!$B$28</f>
        <v>0.9</v>
      </c>
      <c r="E10" s="31" t="n">
        <f aca="false">E$4*Assumptions!$B$28</f>
        <v>0.33</v>
      </c>
      <c r="F10" s="31" t="n">
        <f aca="false">F$4*Assumptions!$B$28</f>
        <v>0.39</v>
      </c>
      <c r="G10" s="31" t="n">
        <f aca="false">G$4*Assumptions!$B$28</f>
        <v>0.33</v>
      </c>
    </row>
    <row r="11" customFormat="false" ht="15" hidden="false" customHeight="false" outlineLevel="0" collapsed="false">
      <c r="A11" s="6" t="s">
        <v>271</v>
      </c>
      <c r="B11" s="31" t="n">
        <f aca="false">B$4*Assumptions!$B$29</f>
        <v>0.23</v>
      </c>
      <c r="C11" s="31" t="n">
        <f aca="false">C$4*Assumptions!$B$29</f>
        <v>0.32</v>
      </c>
      <c r="D11" s="31" t="n">
        <f aca="false">D$4*Assumptions!$B$29</f>
        <v>0.3</v>
      </c>
      <c r="E11" s="31" t="n">
        <f aca="false">E$4*Assumptions!$B$29</f>
        <v>0.11</v>
      </c>
      <c r="F11" s="31" t="n">
        <f aca="false">F$4*Assumptions!$B$29</f>
        <v>0.13</v>
      </c>
      <c r="G11" s="31" t="n">
        <f aca="false">G$4*Assumptions!$B$29</f>
        <v>0.11</v>
      </c>
    </row>
    <row r="12" customFormat="false" ht="15" hidden="false" customHeight="false" outlineLevel="0" collapsed="false">
      <c r="A12" s="6" t="s">
        <v>272</v>
      </c>
      <c r="B12" s="31" t="n">
        <f aca="false">B$4*Assumptions!$B$30</f>
        <v>0.276</v>
      </c>
      <c r="C12" s="31" t="n">
        <f aca="false">C$4*Assumptions!$B$30</f>
        <v>0.384</v>
      </c>
      <c r="D12" s="31" t="n">
        <f aca="false">D$4*Assumptions!$B$30</f>
        <v>0.36</v>
      </c>
      <c r="E12" s="31" t="n">
        <f aca="false">E$4*Assumptions!$B$30</f>
        <v>0.132</v>
      </c>
      <c r="F12" s="31" t="n">
        <f aca="false">F$4*Assumptions!$B$30</f>
        <v>0.156</v>
      </c>
      <c r="G12" s="31" t="n">
        <f aca="false">G$4*Assumptions!$B$30</f>
        <v>0.132</v>
      </c>
    </row>
    <row r="13" customFormat="false" ht="15" hidden="false" customHeight="false" outlineLevel="0" collapsed="false">
      <c r="A13" s="6" t="s">
        <v>273</v>
      </c>
      <c r="B13" s="31" t="n">
        <f aca="false">B$4*Assumptions!$B$31</f>
        <v>0.345</v>
      </c>
      <c r="C13" s="31" t="n">
        <f aca="false">C$4*Assumptions!$B$31</f>
        <v>0.48</v>
      </c>
      <c r="D13" s="31" t="n">
        <f aca="false">D$4*Assumptions!$B$31</f>
        <v>0.45</v>
      </c>
      <c r="E13" s="31" t="n">
        <f aca="false">E$4*Assumptions!$B$31</f>
        <v>0.165</v>
      </c>
      <c r="F13" s="31" t="n">
        <f aca="false">F$4*Assumptions!$B$31</f>
        <v>0.195</v>
      </c>
      <c r="G13" s="31" t="n">
        <f aca="false">G$4*Assumptions!$B$31</f>
        <v>0.165</v>
      </c>
    </row>
    <row r="14" customFormat="false" ht="15" hidden="false" customHeight="false" outlineLevel="0" collapsed="false">
      <c r="A14" s="6" t="s">
        <v>274</v>
      </c>
      <c r="B14" s="31" t="n">
        <f aca="false">SUM(B8:B13)</f>
        <v>3.726</v>
      </c>
      <c r="C14" s="31" t="n">
        <f aca="false">SUM(C8:C13)</f>
        <v>5.184</v>
      </c>
      <c r="D14" s="31" t="n">
        <f aca="false">SUM(D8:D13)</f>
        <v>4.86</v>
      </c>
      <c r="E14" s="31" t="n">
        <f aca="false">SUM(E8:E13)</f>
        <v>1.782</v>
      </c>
      <c r="F14" s="31" t="n">
        <f aca="false">SUM(F8:F13)</f>
        <v>2.106</v>
      </c>
      <c r="G14" s="31" t="n">
        <f aca="false">SUM(G8:G13)</f>
        <v>1.782</v>
      </c>
    </row>
    <row r="15" customFormat="false" ht="15" hidden="false" customHeight="false" outlineLevel="0" collapsed="false">
      <c r="A15" s="4" t="s">
        <v>224</v>
      </c>
      <c r="B15" s="40" t="n">
        <f aca="false">B7-B14</f>
        <v>5.474</v>
      </c>
      <c r="C15" s="40" t="n">
        <f aca="false">C7-C14</f>
        <v>6.336</v>
      </c>
      <c r="D15" s="40" t="n">
        <f aca="false">D7-D14</f>
        <v>6.54</v>
      </c>
      <c r="E15" s="40" t="n">
        <f aca="false">E7-E14</f>
        <v>2.178</v>
      </c>
      <c r="F15" s="40" t="n">
        <f aca="false">F7-F14</f>
        <v>3.874</v>
      </c>
      <c r="G15" s="40" t="n">
        <f aca="false">G7-G14</f>
        <v>2.178</v>
      </c>
    </row>
    <row r="16" customFormat="false" ht="15" hidden="false" customHeight="false" outlineLevel="0" collapsed="false">
      <c r="A16" s="6" t="s">
        <v>275</v>
      </c>
      <c r="B16" s="15" t="n">
        <f aca="false">B15/B4</f>
        <v>0.0238</v>
      </c>
      <c r="C16" s="15" t="n">
        <f aca="false">C15/C4</f>
        <v>0.0198</v>
      </c>
      <c r="D16" s="15" t="n">
        <f aca="false">D15/D4</f>
        <v>0.0218</v>
      </c>
      <c r="E16" s="15" t="n">
        <f aca="false">E15/E4</f>
        <v>0.0198</v>
      </c>
      <c r="F16" s="15" t="n">
        <f aca="false">F15/F4</f>
        <v>0.0298</v>
      </c>
      <c r="G16" s="15" t="n">
        <f aca="false">G15/G4</f>
        <v>0.0198</v>
      </c>
    </row>
    <row r="19" customFormat="false" ht="15" hidden="false" customHeight="false" outlineLevel="0" collapsed="false">
      <c r="A19" s="8" t="s">
        <v>276</v>
      </c>
      <c r="B19" s="9" t="s">
        <v>85</v>
      </c>
    </row>
    <row r="20" customFormat="false" ht="15" hidden="false" customHeight="false" outlineLevel="0" collapsed="false">
      <c r="A20" s="6" t="s">
        <v>277</v>
      </c>
      <c r="B20" s="31" t="n">
        <f aca="false">B15</f>
        <v>5.474</v>
      </c>
    </row>
    <row r="21" customFormat="false" ht="15" hidden="false" customHeight="false" outlineLevel="0" collapsed="false">
      <c r="A21" s="6" t="s">
        <v>278</v>
      </c>
      <c r="B21" s="41" t="n">
        <f aca="false">Assumptions!B60</f>
        <v>9</v>
      </c>
    </row>
    <row r="22" customFormat="false" ht="15" hidden="false" customHeight="false" outlineLevel="0" collapsed="false">
      <c r="A22" s="6" t="s">
        <v>279</v>
      </c>
      <c r="B22" s="31" t="n">
        <f aca="false">B20*B21</f>
        <v>49.266</v>
      </c>
    </row>
    <row r="23" customFormat="false" ht="15" hidden="false" customHeight="false" outlineLevel="0" collapsed="false">
      <c r="A23" s="6" t="s">
        <v>280</v>
      </c>
      <c r="B23" s="26" t="n">
        <f aca="false">Assumptions!B61+Assumptions!B62+Assumptions!B63</f>
        <v>2.17</v>
      </c>
    </row>
    <row r="24" customFormat="false" ht="15" hidden="false" customHeight="false" outlineLevel="0" collapsed="false">
      <c r="A24" s="4" t="s">
        <v>281</v>
      </c>
      <c r="B24" s="40" t="n">
        <f aca="false">B22*B23</f>
        <v>106.90722</v>
      </c>
    </row>
    <row r="25" customFormat="false" ht="15" hidden="false" customHeight="false" outlineLevel="0" collapsed="false">
      <c r="A25" s="6" t="s">
        <v>282</v>
      </c>
      <c r="B25" s="39" t="n">
        <f aca="false">Assumptions!B59</f>
        <v>22</v>
      </c>
    </row>
    <row r="26" customFormat="false" ht="15" hidden="false" customHeight="false" outlineLevel="0" collapsed="false">
      <c r="A26" s="4" t="s">
        <v>283</v>
      </c>
      <c r="B26" s="42" t="n">
        <f aca="false">B24/B25</f>
        <v>4.85941909090909</v>
      </c>
    </row>
    <row r="27" customFormat="false" ht="15" hidden="false" customHeight="false" outlineLevel="0" collapsed="false">
      <c r="A27" s="6" t="s">
        <v>284</v>
      </c>
      <c r="B27" s="43" t="n">
        <f aca="false">B25/B20</f>
        <v>4.01899890390939</v>
      </c>
    </row>
    <row r="30" customFormat="false" ht="26.85" hidden="false" customHeight="false" outlineLevel="0" collapsed="false">
      <c r="A30" s="8" t="s">
        <v>285</v>
      </c>
      <c r="B30" s="9" t="s">
        <v>85</v>
      </c>
    </row>
    <row r="31" customFormat="false" ht="15" hidden="false" customHeight="false" outlineLevel="0" collapsed="false">
      <c r="A31" s="6" t="s">
        <v>286</v>
      </c>
      <c r="B31" s="44" t="n">
        <v>200</v>
      </c>
    </row>
    <row r="32" customFormat="false" ht="15" hidden="false" customHeight="false" outlineLevel="0" collapsed="false">
      <c r="A32" s="6" t="s">
        <v>287</v>
      </c>
      <c r="B32" s="44" t="n">
        <v>4.99</v>
      </c>
    </row>
    <row r="33" customFormat="false" ht="15" hidden="false" customHeight="false" outlineLevel="0" collapsed="false">
      <c r="A33" s="6" t="s">
        <v>288</v>
      </c>
      <c r="B33" s="45" t="n">
        <f aca="false">B31+B32</f>
        <v>204.99</v>
      </c>
    </row>
    <row r="34" customFormat="false" ht="15" hidden="false" customHeight="false" outlineLevel="0" collapsed="false">
      <c r="A34" s="6" t="s">
        <v>289</v>
      </c>
      <c r="B34" s="10" t="n">
        <v>93.4</v>
      </c>
    </row>
    <row r="35" customFormat="false" ht="15" hidden="false" customHeight="false" outlineLevel="0" collapsed="false">
      <c r="A35" s="6" t="s">
        <v>290</v>
      </c>
      <c r="B35" s="21" t="n">
        <v>0.015</v>
      </c>
    </row>
    <row r="36" customFormat="false" ht="15" hidden="false" customHeight="false" outlineLevel="0" collapsed="false">
      <c r="A36" s="6" t="s">
        <v>291</v>
      </c>
      <c r="B36" s="46" t="n">
        <f aca="false">B34*(1-B35)</f>
        <v>91.999</v>
      </c>
    </row>
    <row r="37" customFormat="false" ht="15" hidden="false" customHeight="false" outlineLevel="0" collapsed="false">
      <c r="A37" s="6" t="s">
        <v>292</v>
      </c>
      <c r="B37" s="47" t="n">
        <f aca="false">B31*B36</f>
        <v>18399.8</v>
      </c>
    </row>
    <row r="38" customFormat="false" ht="15" hidden="false" customHeight="false" outlineLevel="0" collapsed="false">
      <c r="A38" s="6" t="s">
        <v>293</v>
      </c>
      <c r="B38" s="15" t="n">
        <f aca="false">(B32+B31*B35)/B31</f>
        <v>0.03995</v>
      </c>
    </row>
    <row r="40" customFormat="false" ht="15" hidden="false" customHeight="false" outlineLevel="0" collapsed="false">
      <c r="A40" s="16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295</v>
      </c>
    </row>
    <row r="3" customFormat="false" ht="15" hidden="false" customHeight="false" outlineLevel="0" collapsed="false">
      <c r="A3" s="8" t="s">
        <v>194</v>
      </c>
      <c r="B3" s="9" t="s">
        <v>296</v>
      </c>
      <c r="C3" s="9" t="s">
        <v>297</v>
      </c>
      <c r="D3" s="9" t="s">
        <v>298</v>
      </c>
      <c r="E3" s="9" t="s">
        <v>299</v>
      </c>
      <c r="F3" s="9" t="s">
        <v>300</v>
      </c>
    </row>
    <row r="4" customFormat="false" ht="15" hidden="false" customHeight="false" outlineLevel="0" collapsed="false">
      <c r="A4" s="6" t="s">
        <v>301</v>
      </c>
      <c r="B4" s="18" t="n">
        <f aca="false">INDEX(Monthly!$C$26:$BJ$26,12)</f>
        <v>812111.675328651</v>
      </c>
      <c r="C4" s="18" t="n">
        <f aca="false">INDEX(Monthly!$C$26:$BJ$26,24)</f>
        <v>7705028.33998533</v>
      </c>
      <c r="D4" s="18" t="n">
        <f aca="false">INDEX(Monthly!$C$26:$BJ$26,36)</f>
        <v>14239091.7386789</v>
      </c>
      <c r="E4" s="18" t="n">
        <f aca="false">INDEX(Monthly!$C$26:$BJ$26,48)</f>
        <v>17210948.5561064</v>
      </c>
      <c r="F4" s="18" t="n">
        <f aca="false">INDEX(Monthly!$C$26:$BJ$26,60)</f>
        <v>18304233.5813432</v>
      </c>
    </row>
    <row r="5" customFormat="false" ht="15" hidden="false" customHeight="false" outlineLevel="0" collapsed="false">
      <c r="A5" s="6" t="s">
        <v>302</v>
      </c>
      <c r="B5" s="23" t="n">
        <f aca="false">B4/30</f>
        <v>27070.3891776217</v>
      </c>
      <c r="C5" s="23" t="n">
        <f aca="false">C4/30</f>
        <v>256834.277999511</v>
      </c>
      <c r="D5" s="23" t="n">
        <f aca="false">D4/30</f>
        <v>474636.391289297</v>
      </c>
      <c r="E5" s="23" t="n">
        <f aca="false">E4/30</f>
        <v>573698.285203547</v>
      </c>
      <c r="F5" s="23" t="n">
        <f aca="false">F4/30</f>
        <v>610141.119378105</v>
      </c>
    </row>
    <row r="6" customFormat="false" ht="15" hidden="false" customHeight="false" outlineLevel="0" collapsed="false">
      <c r="A6" s="6" t="s">
        <v>303</v>
      </c>
      <c r="B6" s="41" t="n">
        <f aca="false">Assumptions!$B$51</f>
        <v>2.5</v>
      </c>
      <c r="C6" s="41" t="n">
        <f aca="false">Assumptions!$B$51</f>
        <v>2.5</v>
      </c>
      <c r="D6" s="41" t="n">
        <f aca="false">Assumptions!$B$51</f>
        <v>2.5</v>
      </c>
      <c r="E6" s="41" t="n">
        <f aca="false">Assumptions!$B$51</f>
        <v>2.5</v>
      </c>
      <c r="F6" s="41" t="n">
        <f aca="false">Assumptions!$B$51</f>
        <v>2.5</v>
      </c>
    </row>
    <row r="7" customFormat="false" ht="15" hidden="false" customHeight="false" outlineLevel="0" collapsed="false">
      <c r="A7" s="4" t="s">
        <v>304</v>
      </c>
      <c r="B7" s="19" t="n">
        <f aca="false">B5*B6</f>
        <v>67675.9729440543</v>
      </c>
      <c r="C7" s="19" t="n">
        <f aca="false">C5*C6</f>
        <v>642085.694998778</v>
      </c>
      <c r="D7" s="19" t="n">
        <f aca="false">D5*D6</f>
        <v>1186590.97822324</v>
      </c>
      <c r="E7" s="19" t="n">
        <f aca="false">E5*E6</f>
        <v>1434245.71300887</v>
      </c>
      <c r="F7" s="19" t="n">
        <f aca="false">F5*F6</f>
        <v>1525352.79844526</v>
      </c>
    </row>
    <row r="8" customFormat="false" ht="15" hidden="false" customHeight="false" outlineLevel="0" collapsed="false">
      <c r="A8" s="6" t="s">
        <v>305</v>
      </c>
      <c r="B8" s="23" t="n">
        <f aca="false">B7*0.6</f>
        <v>40605.5837664326</v>
      </c>
      <c r="C8" s="23" t="n">
        <f aca="false">C7*0.6</f>
        <v>385251.416999267</v>
      </c>
      <c r="D8" s="23" t="n">
        <f aca="false">D7*0.6</f>
        <v>711954.586933946</v>
      </c>
      <c r="E8" s="23" t="n">
        <f aca="false">E7*0.6</f>
        <v>860547.42780532</v>
      </c>
      <c r="F8" s="23" t="n">
        <f aca="false">F7*0.6</f>
        <v>915211.679067158</v>
      </c>
    </row>
    <row r="9" customFormat="false" ht="15" hidden="false" customHeight="false" outlineLevel="0" collapsed="false">
      <c r="A9" s="4" t="s">
        <v>306</v>
      </c>
      <c r="B9" s="19" t="n">
        <f aca="false">B7+B8</f>
        <v>108281.556710487</v>
      </c>
      <c r="C9" s="19" t="n">
        <f aca="false">C7+C8</f>
        <v>1027337.11199804</v>
      </c>
      <c r="D9" s="19" t="n">
        <f aca="false">D7+D8</f>
        <v>1898545.56515719</v>
      </c>
      <c r="E9" s="19" t="n">
        <f aca="false">E7+E8</f>
        <v>2294793.14081419</v>
      </c>
      <c r="F9" s="19" t="n">
        <f aca="false">F7+F8</f>
        <v>2440564.47751242</v>
      </c>
    </row>
    <row r="10" customFormat="false" ht="15" hidden="false" customHeight="false" outlineLevel="0" collapsed="false">
      <c r="A10" s="6" t="s">
        <v>307</v>
      </c>
    </row>
    <row r="11" customFormat="false" ht="15" hidden="false" customHeight="false" outlineLevel="0" collapsed="false">
      <c r="A11" s="6" t="s">
        <v>308</v>
      </c>
      <c r="B11" s="23" t="n">
        <f aca="false">B5*1.5</f>
        <v>40605.5837664326</v>
      </c>
      <c r="C11" s="23" t="n">
        <f aca="false">C5*1.5</f>
        <v>385251.416999267</v>
      </c>
      <c r="D11" s="23" t="n">
        <f aca="false">D5*1.5</f>
        <v>711954.586933946</v>
      </c>
      <c r="E11" s="23" t="n">
        <f aca="false">E5*1.5</f>
        <v>860547.42780532</v>
      </c>
      <c r="F11" s="23" t="n">
        <f aca="false">F5*1.5</f>
        <v>915211.679067158</v>
      </c>
    </row>
    <row r="13" customFormat="false" ht="15" hidden="false" customHeight="false" outlineLevel="0" collapsed="false">
      <c r="A13" s="16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26"/>
  </cols>
  <sheetData>
    <row r="1" customFormat="false" ht="19.7" hidden="false" customHeight="false" outlineLevel="0" collapsed="false">
      <c r="A1" s="1" t="s">
        <v>310</v>
      </c>
    </row>
    <row r="3" customFormat="false" ht="26.85" hidden="false" customHeight="false" outlineLevel="0" collapsed="false">
      <c r="A3" s="8" t="s">
        <v>311</v>
      </c>
      <c r="B3" s="9" t="s">
        <v>312</v>
      </c>
      <c r="C3" s="9" t="s">
        <v>313</v>
      </c>
      <c r="D3" s="9" t="s">
        <v>314</v>
      </c>
    </row>
    <row r="4" customFormat="false" ht="15" hidden="false" customHeight="false" outlineLevel="0" collapsed="false">
      <c r="A4" s="6" t="s">
        <v>315</v>
      </c>
      <c r="B4" s="23" t="n">
        <v>120699365.676019</v>
      </c>
      <c r="C4" s="23" t="n">
        <v>72419619.4056115</v>
      </c>
      <c r="D4" s="23" t="n">
        <v>156909175.378825</v>
      </c>
    </row>
    <row r="5" customFormat="false" ht="15" hidden="false" customHeight="false" outlineLevel="0" collapsed="false">
      <c r="A5" s="6" t="s">
        <v>316</v>
      </c>
      <c r="B5" s="23" t="n">
        <v>187536615.120233</v>
      </c>
      <c r="C5" s="23" t="n">
        <v>112521969.07214</v>
      </c>
      <c r="D5" s="23" t="n">
        <v>243797599.656303</v>
      </c>
    </row>
    <row r="6" customFormat="false" ht="15" hidden="false" customHeight="false" outlineLevel="0" collapsed="false">
      <c r="A6" s="6" t="s">
        <v>317</v>
      </c>
      <c r="B6" s="23" t="n">
        <v>4590739.96466705</v>
      </c>
      <c r="C6" s="23" t="n">
        <v>2754443.97880023</v>
      </c>
      <c r="D6" s="23" t="n">
        <v>5967961.95406716</v>
      </c>
    </row>
    <row r="7" customFormat="false" ht="15" hidden="false" customHeight="false" outlineLevel="0" collapsed="false">
      <c r="A7" s="6" t="s">
        <v>318</v>
      </c>
      <c r="B7" s="23" t="n">
        <v>7171701.16010154</v>
      </c>
      <c r="C7" s="23" t="n">
        <v>4303020.69606092</v>
      </c>
      <c r="D7" s="23" t="n">
        <v>9323211.508132</v>
      </c>
    </row>
    <row r="8" customFormat="false" ht="15" hidden="false" customHeight="false" outlineLevel="0" collapsed="false">
      <c r="A8" s="6" t="s">
        <v>319</v>
      </c>
      <c r="B8" s="23" t="n">
        <v>-402089.759284465</v>
      </c>
      <c r="C8" s="23" t="n">
        <v>-1456253.85557068</v>
      </c>
      <c r="D8" s="23" t="n">
        <v>388533.312930195</v>
      </c>
    </row>
    <row r="9" customFormat="false" ht="15" hidden="false" customHeight="false" outlineLevel="0" collapsed="false">
      <c r="A9" s="6" t="s">
        <v>320</v>
      </c>
      <c r="B9" s="23" t="n">
        <v>117312.159452715</v>
      </c>
      <c r="C9" s="23" t="n">
        <v>-1366612.70432837</v>
      </c>
      <c r="D9" s="23" t="n">
        <v>1230255.80728853</v>
      </c>
    </row>
    <row r="10" customFormat="false" ht="15" hidden="false" customHeight="false" outlineLevel="0" collapsed="false">
      <c r="A10" s="6" t="s">
        <v>321</v>
      </c>
      <c r="B10" s="23" t="n">
        <v>251607.995153768</v>
      </c>
      <c r="C10" s="23" t="n">
        <v>-1401835.20290774</v>
      </c>
      <c r="D10" s="23" t="n">
        <v>1491690.3936999</v>
      </c>
    </row>
    <row r="11" customFormat="false" ht="15" hidden="false" customHeight="false" outlineLevel="0" collapsed="false">
      <c r="A11" s="6" t="s">
        <v>322</v>
      </c>
      <c r="B11" s="23" t="n">
        <v>-3001734.81465225</v>
      </c>
      <c r="C11" s="23" t="n">
        <v>-7179678.64070603</v>
      </c>
      <c r="D11" s="23" t="n">
        <v>-2318831.09246647</v>
      </c>
    </row>
    <row r="12" customFormat="false" ht="15" hidden="false" customHeight="false" outlineLevel="0" collapsed="false">
      <c r="A12" s="6" t="s">
        <v>323</v>
      </c>
      <c r="B12" s="23" t="n">
        <v>795682.156280007</v>
      </c>
      <c r="C12" s="23" t="n">
        <v>-444890.319773186</v>
      </c>
      <c r="D12" s="23" t="n">
        <v>859449.303164009</v>
      </c>
    </row>
    <row r="13" customFormat="false" ht="15" hidden="false" customHeight="false" outlineLevel="0" collapsed="false">
      <c r="A13" s="6" t="s">
        <v>324</v>
      </c>
      <c r="B13" s="25" t="n">
        <v>34</v>
      </c>
      <c r="C13" s="25" t="s">
        <v>325</v>
      </c>
      <c r="D13" s="25" t="n">
        <v>24</v>
      </c>
    </row>
    <row r="14" customFormat="false" ht="15" hidden="false" customHeight="false" outlineLevel="0" collapsed="false">
      <c r="A14" s="6" t="s">
        <v>326</v>
      </c>
      <c r="B14" s="37" t="n">
        <v>0.10362896074715</v>
      </c>
      <c r="C14" s="37" t="n">
        <v>0.0621773764482898</v>
      </c>
      <c r="D14" s="37" t="n">
        <v>0.134717648971295</v>
      </c>
    </row>
    <row r="15" customFormat="false" ht="15" hidden="false" customHeight="false" outlineLevel="0" collapsed="false">
      <c r="A15" s="6" t="s">
        <v>327</v>
      </c>
      <c r="B15" s="29" t="n">
        <v>89330.4007584747</v>
      </c>
      <c r="C15" s="29" t="n">
        <v>53598.2404550848</v>
      </c>
      <c r="D15" s="29" t="n">
        <v>116129.520986017</v>
      </c>
    </row>
    <row r="18" customFormat="false" ht="15" hidden="false" customHeight="false" outlineLevel="0" collapsed="false">
      <c r="A18" s="16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2026-10-29T11:57:30Z</dcterms:created>
  <dc:creator>openpyxl</dc:creator>
  <dc:description/>
  <dc:language>en-US</dc:language>
  <cp:lastModifiedBy/>
  <dcterms:modified xsi:type="dcterms:W3CDTF">2026-10-29T11:57:31Z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